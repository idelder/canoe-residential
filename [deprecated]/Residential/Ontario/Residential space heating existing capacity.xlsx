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buildings_sector/[deprecated]/Residential/Ontario/"/>
    </mc:Choice>
  </mc:AlternateContent>
  <xr:revisionPtr revIDLastSave="7" documentId="14_{0D8085FA-641D-4293-8C89-BFDEC87C70DB}" xr6:coauthVersionLast="47" xr6:coauthVersionMax="47" xr10:uidLastSave="{5DA70AA9-E3BD-4315-AA43-20A08E2FB8ED}"/>
  <bookViews>
    <workbookView xWindow="-120" yWindow="-120" windowWidth="29040" windowHeight="15840" xr2:uid="{00000000-000D-0000-FFFF-FFFF00000000}"/>
  </bookViews>
  <sheets>
    <sheet name="Existing capacity" sheetId="3" r:id="rId1"/>
    <sheet name="stock" sheetId="4" r:id="rId2"/>
    <sheet name="efficiency" sheetId="2" r:id="rId3"/>
    <sheet name="secondary energy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3" l="1"/>
  <c r="K7" i="3"/>
  <c r="K8" i="3"/>
  <c r="K9" i="3"/>
  <c r="K10" i="3"/>
  <c r="K11" i="3"/>
  <c r="K12" i="3"/>
  <c r="K14" i="3"/>
  <c r="K15" i="3"/>
  <c r="K16" i="3"/>
  <c r="K17" i="3"/>
  <c r="K4" i="3"/>
  <c r="J7" i="3"/>
  <c r="J8" i="3"/>
  <c r="J9" i="3"/>
  <c r="J10" i="3"/>
  <c r="J11" i="3"/>
  <c r="J12" i="3"/>
  <c r="J14" i="3"/>
  <c r="J15" i="3"/>
  <c r="J16" i="3"/>
  <c r="J17" i="3"/>
  <c r="J4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3" i="3"/>
  <c r="F13" i="3"/>
  <c r="F3" i="3"/>
  <c r="C4" i="3"/>
  <c r="C5" i="3"/>
  <c r="C6" i="3"/>
  <c r="C7" i="3"/>
  <c r="C8" i="3"/>
  <c r="C9" i="3"/>
  <c r="C10" i="3"/>
  <c r="C11" i="3"/>
  <c r="C12" i="3"/>
  <c r="F12" i="3" s="1"/>
  <c r="C13" i="3"/>
  <c r="C14" i="3"/>
  <c r="C15" i="3"/>
  <c r="C16" i="3"/>
  <c r="C17" i="3"/>
  <c r="C3" i="3"/>
  <c r="E4" i="3"/>
  <c r="E5" i="3"/>
  <c r="E6" i="3"/>
  <c r="E7" i="3"/>
  <c r="E8" i="3"/>
  <c r="E3" i="3"/>
  <c r="D17" i="3"/>
  <c r="F17" i="3" s="1"/>
  <c r="D16" i="3"/>
  <c r="F16" i="3" s="1"/>
  <c r="D15" i="3"/>
  <c r="F15" i="3" s="1"/>
  <c r="D14" i="3"/>
  <c r="F14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0" i="3"/>
  <c r="F10" i="3" s="1"/>
  <c r="D11" i="3"/>
  <c r="F11" i="3" s="1"/>
  <c r="D12" i="3"/>
  <c r="D3" i="3"/>
  <c r="E9" i="3"/>
  <c r="E10" i="3"/>
  <c r="E11" i="3"/>
  <c r="E12" i="3"/>
  <c r="E14" i="3"/>
  <c r="E15" i="3"/>
  <c r="E16" i="3"/>
  <c r="E17" i="3"/>
  <c r="D24" i="4"/>
  <c r="B22" i="3"/>
  <c r="B21" i="3"/>
</calcChain>
</file>

<file path=xl/sharedStrings.xml><?xml version="1.0" encoding="utf-8"?>
<sst xmlns="http://schemas.openxmlformats.org/spreadsheetml/2006/main" count="161" uniqueCount="79">
  <si>
    <t>Residential Sector</t>
  </si>
  <si>
    <t>Ontario</t>
  </si>
  <si>
    <t>Table 8: Space Heating Secondary Energy Use by System Type</t>
  </si>
  <si>
    <t>Total Space Heating Energy Use (PJ)</t>
  </si>
  <si>
    <t>Energy Use by System Type (PJ)</t>
  </si>
  <si>
    <t>Heating Oil – Normal Efficiency</t>
  </si>
  <si>
    <t>Heating Oil – Medium Efficiency</t>
  </si>
  <si>
    <t>Heating Oil – High Efficiency</t>
  </si>
  <si>
    <t>Natural Gas – Normal Efficiency</t>
  </si>
  <si>
    <t>Natural Gas – Medium Efficiency</t>
  </si>
  <si>
    <t>Natural Gas – High Efficiency</t>
  </si>
  <si>
    <t>Electric</t>
  </si>
  <si>
    <t>Heat Pump</t>
  </si>
  <si>
    <r>
      <t>Other</t>
    </r>
    <r>
      <rPr>
        <vertAlign val="superscript"/>
        <sz val="10"/>
        <rFont val="Arial"/>
        <family val="2"/>
      </rPr>
      <t>1</t>
    </r>
  </si>
  <si>
    <t>Wood</t>
  </si>
  <si>
    <t>Dual Systems</t>
  </si>
  <si>
    <t>Wood/Electric</t>
  </si>
  <si>
    <t>Wood/Heating Oil</t>
  </si>
  <si>
    <t>Natural Gas/Electric</t>
  </si>
  <si>
    <t>Heating Oil/Electric</t>
  </si>
  <si>
    <t>Shares (%)</t>
  </si>
  <si>
    <t>Activity</t>
  </si>
  <si>
    <r>
      <t>Total Floor Space (million m</t>
    </r>
    <r>
      <rPr>
        <vertAlign val="superscript"/>
        <sz val="10"/>
        <color indexed="8"/>
        <rFont val="Arial"/>
        <family val="2"/>
      </rPr>
      <t>2</t>
    </r>
    <r>
      <rPr>
        <sz val="10"/>
        <color indexed="8"/>
        <rFont val="Arial"/>
        <family val="2"/>
      </rPr>
      <t>)</t>
    </r>
  </si>
  <si>
    <r>
      <t>Energy Intensity (GJ/m</t>
    </r>
    <r>
      <rPr>
        <b/>
        <vertAlign val="superscript"/>
        <sz val="10"/>
        <color indexed="8"/>
        <rFont val="Arial"/>
        <family val="2"/>
      </rPr>
      <t>2</t>
    </r>
    <r>
      <rPr>
        <b/>
        <sz val="10"/>
        <color indexed="8"/>
        <rFont val="Arial"/>
        <family val="2"/>
      </rPr>
      <t>)</t>
    </r>
  </si>
  <si>
    <t xml:space="preserve">Heat Gains (PJ) </t>
  </si>
  <si>
    <t>Heating Degree-Day Index</t>
  </si>
  <si>
    <t>1) “Other” includes coal and propane.</t>
  </si>
  <si>
    <t>Table 26: Heating System Stock Efficiencies</t>
  </si>
  <si>
    <t>Heating System Stock Efficiencies by System Type (%)</t>
  </si>
  <si>
    <t>Dual Heating Systems Electric/Wood</t>
  </si>
  <si>
    <t>Electricity</t>
  </si>
  <si>
    <t>Dual Heating Systems Heating Oil/Wood</t>
  </si>
  <si>
    <t>Heating Oil</t>
  </si>
  <si>
    <t>Dual Heating Systems Electric/Natural Gas</t>
  </si>
  <si>
    <t>Natural Gas</t>
  </si>
  <si>
    <t>Dual Heating Systems Electric/Heating Oil</t>
  </si>
  <si>
    <t>Table 21: Heating System Stock by Building Type and Heating System Type</t>
  </si>
  <si>
    <t>Total Heating System Stock (thousands)</t>
  </si>
  <si>
    <t>Heating System Stock by Building Type (thousands)</t>
  </si>
  <si>
    <t>Single Detached</t>
  </si>
  <si>
    <t>Single Attached</t>
  </si>
  <si>
    <t>Apartments</t>
  </si>
  <si>
    <t>Mobile Homes</t>
  </si>
  <si>
    <t>Heating System Stock by Heating System Type (thousands)</t>
  </si>
  <si>
    <r>
      <rPr>
        <b/>
        <sz val="11"/>
        <color theme="1"/>
        <rFont val="Calibri"/>
        <family val="2"/>
        <scheme val="minor"/>
      </rPr>
      <t>Wood</t>
    </r>
    <r>
      <rPr>
        <sz val="11"/>
        <color theme="1"/>
        <rFont val="Calibri"/>
        <family val="2"/>
        <scheme val="minor"/>
      </rPr>
      <t>/Electric</t>
    </r>
  </si>
  <si>
    <r>
      <rPr>
        <b/>
        <sz val="11"/>
        <color theme="1"/>
        <rFont val="Calibri"/>
        <family val="2"/>
        <scheme val="minor"/>
      </rPr>
      <t>Natural Gas</t>
    </r>
    <r>
      <rPr>
        <sz val="11"/>
        <color theme="1"/>
        <rFont val="Calibri"/>
        <family val="2"/>
        <scheme val="minor"/>
      </rPr>
      <t>/Electric</t>
    </r>
  </si>
  <si>
    <r>
      <rPr>
        <b/>
        <sz val="11"/>
        <color theme="1"/>
        <rFont val="Calibri"/>
        <family val="2"/>
        <scheme val="minor"/>
      </rPr>
      <t>Heating Oil</t>
    </r>
    <r>
      <rPr>
        <sz val="11"/>
        <color theme="1"/>
        <rFont val="Calibri"/>
        <family val="2"/>
        <scheme val="minor"/>
      </rPr>
      <t>/Electric</t>
    </r>
  </si>
  <si>
    <r>
      <t>Wood/</t>
    </r>
    <r>
      <rPr>
        <b/>
        <sz val="11"/>
        <color theme="1"/>
        <rFont val="Calibri"/>
        <family val="2"/>
        <scheme val="minor"/>
      </rPr>
      <t>Heating Oil</t>
    </r>
  </si>
  <si>
    <t xml:space="preserve">GW = </t>
  </si>
  <si>
    <t>x kBtu/h</t>
  </si>
  <si>
    <t>Other (LPG)</t>
  </si>
  <si>
    <t>PJ =</t>
  </si>
  <si>
    <t>Technology</t>
  </si>
  <si>
    <t>Model tech</t>
  </si>
  <si>
    <t>R_SPH_OIL_MEF</t>
  </si>
  <si>
    <t>R_SPH_NGS_MEF</t>
  </si>
  <si>
    <t>R_SPH_NGS_HEF</t>
  </si>
  <si>
    <t>R_SPH_ELC_EXS</t>
  </si>
  <si>
    <t>R_SPH_HP_EXS</t>
  </si>
  <si>
    <t>R_SPH_LPG_MEF</t>
  </si>
  <si>
    <t>R_SPH_WOD_EXS</t>
  </si>
  <si>
    <t>R_SPH_WOD_ELC</t>
  </si>
  <si>
    <t>R_SPH_NGS_ELC</t>
  </si>
  <si>
    <t>R_SPH_OIL_ELC</t>
  </si>
  <si>
    <t>R_SPH_WOD_OIL</t>
  </si>
  <si>
    <t>Have to do it this way because we don't know the capacity factor for secondary energy use</t>
  </si>
  <si>
    <t>Population index</t>
  </si>
  <si>
    <t>x GWy</t>
  </si>
  <si>
    <t>Efficiency</t>
  </si>
  <si>
    <t>Annual CF</t>
  </si>
  <si>
    <t>Assume an arbitrary 1000 PJ/Munityr unit capacity and use this to calculate annual capacity factor which defines actual energy output per unit</t>
  </si>
  <si>
    <t>Est unit cap kbtu/hr</t>
  </si>
  <si>
    <t>exs cap Munits</t>
  </si>
  <si>
    <t>ann sec energy PJ</t>
  </si>
  <si>
    <t>Arb. c2a PJ/Munityr</t>
  </si>
  <si>
    <t>annual act PJ/Munit</t>
  </si>
  <si>
    <t>est c2a PJ/Munityr</t>
  </si>
  <si>
    <t>ACF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</si>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</sst>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"/>
    <numFmt numFmtId="166" formatCode="0.000"/>
    <numFmt numFmtId="167" formatCode="0.0000"/>
    <numFmt numFmtId="168" formatCode="0.000%"/>
    <numFmt numFmtId="169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/>
    <xf numFmtId="0" fontId="6" fillId="0" borderId="0" xfId="0" applyFont="1" applyAlignment="1">
      <alignment horizontal="left" indent="1"/>
    </xf>
    <xf numFmtId="164" fontId="0" fillId="0" borderId="0" xfId="0" applyNumberFormat="1"/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2" fontId="8" fillId="0" borderId="0" xfId="0" applyNumberFormat="1" applyFont="1" applyAlignment="1">
      <alignment horizontal="left"/>
    </xf>
    <xf numFmtId="1" fontId="9" fillId="0" borderId="0" xfId="0" applyNumberFormat="1" applyFont="1" applyAlignment="1">
      <alignment horizontal="left" indent="2"/>
    </xf>
    <xf numFmtId="2" fontId="5" fillId="0" borderId="0" xfId="0" applyNumberFormat="1" applyFont="1"/>
    <xf numFmtId="0" fontId="5" fillId="0" borderId="0" xfId="0" applyFont="1" applyAlignment="1">
      <alignment horizontal="left" wrapText="1"/>
    </xf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165" fontId="5" fillId="0" borderId="0" xfId="0" applyNumberFormat="1" applyFont="1"/>
    <xf numFmtId="0" fontId="6" fillId="0" borderId="0" xfId="0" applyFont="1" applyAlignment="1">
      <alignment horizontal="left" wrapText="1" indent="1"/>
    </xf>
    <xf numFmtId="165" fontId="0" fillId="0" borderId="0" xfId="0" applyNumberFormat="1"/>
    <xf numFmtId="0" fontId="1" fillId="0" borderId="0" xfId="0" applyFont="1" applyAlignment="1">
      <alignment horizontal="left" indent="2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2"/>
    </xf>
    <xf numFmtId="164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0" fontId="0" fillId="0" borderId="0" xfId="0" applyFont="1"/>
    <xf numFmtId="168" fontId="0" fillId="0" borderId="0" xfId="1" applyNumberFormat="1" applyFont="1"/>
    <xf numFmtId="169" fontId="0" fillId="0" borderId="0" xfId="1" applyNumberFormat="1" applyFont="1"/>
    <xf numFmtId="0" fontId="14" fillId="0" borderId="0" xfId="0" applyFont="1"/>
    <xf numFmtId="0" fontId="15" fillId="0" borderId="0" xfId="0" applyFont="1"/>
    <xf numFmtId="167" fontId="15" fillId="0" borderId="0" xfId="0" applyNumberFormat="1" applyFont="1"/>
    <xf numFmtId="9" fontId="15" fillId="0" borderId="0" xfId="1" applyNumberFormat="1" applyFont="1"/>
    <xf numFmtId="2" fontId="15" fillId="0" borderId="0" xfId="0" applyNumberFormat="1" applyFont="1"/>
    <xf numFmtId="9" fontId="15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VFP%20PROJECTS\NEUD\IMAGES\CANADA_BLK.JPG" TargetMode="External"/><Relationship Id="rId1" Type="http://schemas.openxmlformats.org/officeDocument/2006/relationships/image" Target="file:///C:\VFP%20PROJECTS\NEUD\IMAGES\NRCANLOGOEN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161925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A3A69DA-8D71-45ED-852D-1E91D8C1D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387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219075</xdr:colOff>
      <xdr:row>0</xdr:row>
      <xdr:rowOff>152400</xdr:rowOff>
    </xdr:from>
    <xdr:to>
      <xdr:col>23</xdr:col>
      <xdr:colOff>57150</xdr:colOff>
      <xdr:row>2</xdr:row>
      <xdr:rowOff>38100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85CE975-0121-4196-8145-F2BA7F69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16325" y="152400"/>
          <a:ext cx="10572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619125</xdr:colOff>
      <xdr:row>1</xdr:row>
      <xdr:rowOff>0</xdr:rowOff>
    </xdr:to>
    <xdr:pic>
      <xdr:nvPicPr>
        <xdr:cNvPr id="1025" name="Picture 2">
          <a:extLst>
            <a:ext uri="{FF2B5EF4-FFF2-40B4-BE49-F238E27FC236}">
              <a16:creationId xmlns:a16="http://schemas.microsoft.com/office/drawing/2014/main" id="{361538E3-D0D8-4091-B777-FDCCC7E3C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482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447675</xdr:colOff>
      <xdr:row>0</xdr:row>
      <xdr:rowOff>152400</xdr:rowOff>
    </xdr:from>
    <xdr:to>
      <xdr:col>23</xdr:col>
      <xdr:colOff>57150</xdr:colOff>
      <xdr:row>0</xdr:row>
      <xdr:rowOff>419100</xdr:rowOff>
    </xdr:to>
    <xdr:pic>
      <xdr:nvPicPr>
        <xdr:cNvPr id="1026" name="Picture 4">
          <a:extLst>
            <a:ext uri="{FF2B5EF4-FFF2-40B4-BE49-F238E27FC236}">
              <a16:creationId xmlns:a16="http://schemas.microsoft.com/office/drawing/2014/main" id="{4F246B96-45EB-4AA0-AD97-9533989F9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2550" y="152400"/>
          <a:ext cx="10572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22" sqref="H22"/>
    </sheetView>
  </sheetViews>
  <sheetFormatPr defaultRowHeight="15" x14ac:dyDescent="0.25"/>
  <cols>
    <col min="1" max="1" width="35.5703125" customWidth="1"/>
    <col min="2" max="2" width="35.5703125" style="20" customWidth="1"/>
    <col min="3" max="5" width="17.5703125" style="20" customWidth="1"/>
    <col min="6" max="8" width="22" style="20" customWidth="1"/>
    <col min="9" max="9" width="19.7109375" customWidth="1"/>
    <col min="10" max="10" width="25" customWidth="1"/>
    <col min="11" max="11" width="14.42578125" customWidth="1"/>
    <col min="12" max="12" width="12" bestFit="1" customWidth="1"/>
  </cols>
  <sheetData>
    <row r="1" spans="1:12" x14ac:dyDescent="0.25">
      <c r="C1" s="35">
        <v>2020</v>
      </c>
      <c r="D1" s="35"/>
      <c r="E1" s="35"/>
    </row>
    <row r="2" spans="1:12" x14ac:dyDescent="0.25">
      <c r="A2" s="42" t="s">
        <v>52</v>
      </c>
      <c r="B2" s="20" t="s">
        <v>53</v>
      </c>
      <c r="C2" s="49" t="s">
        <v>72</v>
      </c>
      <c r="D2" s="49" t="s">
        <v>68</v>
      </c>
      <c r="E2" s="40" t="s">
        <v>73</v>
      </c>
      <c r="F2" s="20" t="s">
        <v>75</v>
      </c>
      <c r="G2" s="42" t="s">
        <v>74</v>
      </c>
      <c r="H2" s="42" t="s">
        <v>69</v>
      </c>
      <c r="I2" s="42" t="s">
        <v>71</v>
      </c>
      <c r="J2" s="46" t="s">
        <v>76</v>
      </c>
      <c r="K2" s="46" t="s">
        <v>77</v>
      </c>
    </row>
    <row r="3" spans="1:12" x14ac:dyDescent="0.25">
      <c r="A3" t="s">
        <v>5</v>
      </c>
      <c r="C3" s="46">
        <f>stock!W28/1000</f>
        <v>0</v>
      </c>
      <c r="D3" s="50">
        <f>efficiency!W14/100</f>
        <v>0.6</v>
      </c>
      <c r="E3" s="20">
        <f>'secondary energy'!W15</f>
        <v>0</v>
      </c>
      <c r="F3" s="20" t="e">
        <f>D3*E3/C3</f>
        <v>#DIV/0!</v>
      </c>
      <c r="G3" s="42">
        <v>1000</v>
      </c>
      <c r="H3" s="44" t="e">
        <f>F3/G3</f>
        <v>#DIV/0!</v>
      </c>
      <c r="I3" s="20"/>
      <c r="J3" s="47"/>
      <c r="K3" s="48"/>
    </row>
    <row r="4" spans="1:12" x14ac:dyDescent="0.25">
      <c r="A4" s="20" t="s">
        <v>6</v>
      </c>
      <c r="B4" s="20" t="s">
        <v>54</v>
      </c>
      <c r="C4" s="46">
        <f>stock!W29/1000</f>
        <v>0.13224799999999998</v>
      </c>
      <c r="D4" s="50">
        <f>efficiency!W15/100</f>
        <v>0.78</v>
      </c>
      <c r="E4" s="20">
        <f>'secondary energy'!W16</f>
        <v>3.7591169999999998</v>
      </c>
      <c r="F4" s="20">
        <f t="shared" ref="F4:F17" si="0">D4*E4/C4</f>
        <v>22.17130890448249</v>
      </c>
      <c r="G4" s="42">
        <v>1000</v>
      </c>
      <c r="H4" s="44">
        <f t="shared" ref="H4:H17" si="1">F4/G4</f>
        <v>2.217130890448249E-2</v>
      </c>
      <c r="I4" s="20">
        <v>105</v>
      </c>
      <c r="J4" s="47">
        <f>I4*$B$21*$B$22*1000000</f>
        <v>970.44014088000029</v>
      </c>
      <c r="K4" s="48">
        <f>F4/J4</f>
        <v>2.2846652740866048E-2</v>
      </c>
    </row>
    <row r="5" spans="1:12" x14ac:dyDescent="0.25">
      <c r="A5" s="20" t="s">
        <v>7</v>
      </c>
      <c r="C5" s="46">
        <f>stock!W30/1000</f>
        <v>0</v>
      </c>
      <c r="D5" s="50">
        <f>efficiency!W16/100</f>
        <v>0.85</v>
      </c>
      <c r="E5" s="20">
        <f>'secondary energy'!W17</f>
        <v>0</v>
      </c>
      <c r="F5" s="20" t="e">
        <f t="shared" si="0"/>
        <v>#DIV/0!</v>
      </c>
      <c r="G5" s="42">
        <v>1000</v>
      </c>
      <c r="H5" s="44" t="e">
        <f t="shared" si="1"/>
        <v>#DIV/0!</v>
      </c>
      <c r="I5" s="20"/>
      <c r="J5" s="47"/>
      <c r="K5" s="48"/>
    </row>
    <row r="6" spans="1:12" x14ac:dyDescent="0.25">
      <c r="A6" s="20" t="s">
        <v>8</v>
      </c>
      <c r="C6" s="46">
        <f>stock!W31/1000</f>
        <v>0</v>
      </c>
      <c r="D6" s="50">
        <f>efficiency!W17/100</f>
        <v>0.62</v>
      </c>
      <c r="E6" s="20">
        <f>'secondary energy'!W18</f>
        <v>0</v>
      </c>
      <c r="F6" s="20" t="e">
        <f t="shared" si="0"/>
        <v>#DIV/0!</v>
      </c>
      <c r="G6" s="42">
        <v>1000</v>
      </c>
      <c r="H6" s="44" t="e">
        <f t="shared" si="1"/>
        <v>#DIV/0!</v>
      </c>
      <c r="I6" s="20"/>
      <c r="J6" s="47"/>
      <c r="K6" s="48"/>
    </row>
    <row r="7" spans="1:12" x14ac:dyDescent="0.25">
      <c r="A7" s="20" t="s">
        <v>9</v>
      </c>
      <c r="B7" s="20" t="s">
        <v>55</v>
      </c>
      <c r="C7" s="46">
        <f>stock!W32/1000</f>
        <v>0.72494000000000003</v>
      </c>
      <c r="D7" s="50">
        <f>efficiency!W18/100</f>
        <v>0.8</v>
      </c>
      <c r="E7" s="20">
        <f>'secondary energy'!W19</f>
        <v>49.475327</v>
      </c>
      <c r="F7" s="20">
        <f t="shared" si="0"/>
        <v>54.597982729605206</v>
      </c>
      <c r="G7" s="42">
        <v>1000</v>
      </c>
      <c r="H7" s="44">
        <f t="shared" si="1"/>
        <v>5.4597982729605206E-2</v>
      </c>
      <c r="I7" s="20">
        <v>80</v>
      </c>
      <c r="J7" s="47">
        <f t="shared" ref="J5:J17" si="2">I7*$B$21*$B$22*1000000</f>
        <v>739.38296448000017</v>
      </c>
      <c r="K7" s="48">
        <f t="shared" ref="K5:K17" si="3">F7/J7</f>
        <v>7.384263007466417E-2</v>
      </c>
    </row>
    <row r="8" spans="1:12" x14ac:dyDescent="0.25">
      <c r="A8" s="20" t="s">
        <v>10</v>
      </c>
      <c r="B8" s="20" t="s">
        <v>56</v>
      </c>
      <c r="C8" s="46">
        <f>stock!W33/1000</f>
        <v>3.0997629999999998</v>
      </c>
      <c r="D8" s="50">
        <f>efficiency!W19/100</f>
        <v>0.9</v>
      </c>
      <c r="E8" s="20">
        <f>'secondary energy'!W20</f>
        <v>184.52887699999999</v>
      </c>
      <c r="F8" s="20">
        <f t="shared" si="0"/>
        <v>53.576995821938652</v>
      </c>
      <c r="G8" s="42">
        <v>1000</v>
      </c>
      <c r="H8" s="44">
        <f t="shared" si="1"/>
        <v>5.3576995821938651E-2</v>
      </c>
      <c r="I8" s="20">
        <v>80</v>
      </c>
      <c r="J8" s="47">
        <f t="shared" si="2"/>
        <v>739.38296448000017</v>
      </c>
      <c r="K8" s="48">
        <f t="shared" si="3"/>
        <v>7.2461766629447241E-2</v>
      </c>
    </row>
    <row r="9" spans="1:12" x14ac:dyDescent="0.25">
      <c r="A9" s="20" t="s">
        <v>11</v>
      </c>
      <c r="B9" s="20" t="s">
        <v>57</v>
      </c>
      <c r="C9" s="46">
        <f>stock!W34/1000</f>
        <v>0.98379799999999995</v>
      </c>
      <c r="D9" s="50">
        <f>efficiency!W20/100</f>
        <v>1</v>
      </c>
      <c r="E9" s="20">
        <f>'secondary energy'!W21</f>
        <v>34.435597999999999</v>
      </c>
      <c r="F9" s="20">
        <f t="shared" si="0"/>
        <v>35.002711938832974</v>
      </c>
      <c r="G9" s="42">
        <v>1000</v>
      </c>
      <c r="H9" s="44">
        <f t="shared" si="1"/>
        <v>3.5002711938832975E-2</v>
      </c>
      <c r="I9" s="20">
        <v>68</v>
      </c>
      <c r="J9" s="47">
        <f t="shared" si="2"/>
        <v>628.47551980800006</v>
      </c>
      <c r="K9" s="48">
        <f t="shared" si="3"/>
        <v>5.5694630634978974E-2</v>
      </c>
    </row>
    <row r="10" spans="1:12" x14ac:dyDescent="0.25">
      <c r="A10" s="20" t="s">
        <v>12</v>
      </c>
      <c r="B10" s="20" t="s">
        <v>58</v>
      </c>
      <c r="C10" s="46">
        <f>stock!W35/1000</f>
        <v>0.39461900000000005</v>
      </c>
      <c r="D10" s="50">
        <f>efficiency!W21/100</f>
        <v>1.9</v>
      </c>
      <c r="E10" s="20">
        <f>'secondary energy'!W22</f>
        <v>9.7901030000000002</v>
      </c>
      <c r="F10" s="20">
        <f t="shared" si="0"/>
        <v>47.137101102582477</v>
      </c>
      <c r="G10" s="42">
        <v>1000</v>
      </c>
      <c r="H10" s="44">
        <f t="shared" si="1"/>
        <v>4.7137101102582478E-2</v>
      </c>
      <c r="I10" s="20">
        <v>36</v>
      </c>
      <c r="J10" s="47">
        <f t="shared" si="2"/>
        <v>332.72233401600005</v>
      </c>
      <c r="K10" s="48">
        <f t="shared" si="3"/>
        <v>0.14167098593482377</v>
      </c>
    </row>
    <row r="11" spans="1:12" x14ac:dyDescent="0.25">
      <c r="A11" s="20" t="s">
        <v>50</v>
      </c>
      <c r="B11" s="20" t="s">
        <v>59</v>
      </c>
      <c r="C11" s="46">
        <f>stock!W36/1000</f>
        <v>0.18088699999999999</v>
      </c>
      <c r="D11" s="50">
        <f>efficiency!W22/100</f>
        <v>0.5</v>
      </c>
      <c r="E11" s="20">
        <f>'secondary energy'!W23</f>
        <v>7.9320620000000002</v>
      </c>
      <c r="F11" s="20">
        <f t="shared" si="0"/>
        <v>21.925461752364736</v>
      </c>
      <c r="G11" s="42">
        <v>1000</v>
      </c>
      <c r="H11" s="44">
        <f t="shared" si="1"/>
        <v>2.1925461752364737E-2</v>
      </c>
      <c r="I11" s="20">
        <v>80</v>
      </c>
      <c r="J11" s="47">
        <f t="shared" si="2"/>
        <v>739.38296448000017</v>
      </c>
      <c r="K11" s="48">
        <f t="shared" si="3"/>
        <v>2.9653728589466043E-2</v>
      </c>
      <c r="L11" s="39"/>
    </row>
    <row r="12" spans="1:12" x14ac:dyDescent="0.25">
      <c r="A12" s="20" t="s">
        <v>14</v>
      </c>
      <c r="B12" s="20" t="s">
        <v>60</v>
      </c>
      <c r="C12" s="46">
        <f>stock!W37/1000</f>
        <v>2.7367000000000002E-2</v>
      </c>
      <c r="D12" s="50">
        <f>efficiency!W23/100</f>
        <v>0.5</v>
      </c>
      <c r="E12" s="20">
        <f>'secondary energy'!W24</f>
        <v>1.468934</v>
      </c>
      <c r="F12" s="20">
        <f t="shared" si="0"/>
        <v>26.837687726093467</v>
      </c>
      <c r="G12" s="42">
        <v>1000</v>
      </c>
      <c r="H12" s="44">
        <f t="shared" si="1"/>
        <v>2.6837687726093466E-2</v>
      </c>
      <c r="I12" s="20">
        <v>50</v>
      </c>
      <c r="J12" s="47">
        <f t="shared" si="2"/>
        <v>462.11435280000006</v>
      </c>
      <c r="K12" s="48">
        <f t="shared" si="3"/>
        <v>5.807585841790254E-2</v>
      </c>
    </row>
    <row r="13" spans="1:12" x14ac:dyDescent="0.25">
      <c r="A13" s="45" t="s">
        <v>15</v>
      </c>
      <c r="C13" s="46">
        <f>stock!W38/1000</f>
        <v>0</v>
      </c>
      <c r="D13" s="50"/>
      <c r="F13" s="20" t="e">
        <f t="shared" si="0"/>
        <v>#DIV/0!</v>
      </c>
      <c r="G13" s="42"/>
      <c r="H13" s="44" t="e">
        <f t="shared" si="1"/>
        <v>#DIV/0!</v>
      </c>
      <c r="I13" s="20"/>
      <c r="J13" s="47"/>
      <c r="K13" s="48"/>
    </row>
    <row r="14" spans="1:12" x14ac:dyDescent="0.25">
      <c r="A14" s="20" t="s">
        <v>44</v>
      </c>
      <c r="B14" s="20" t="s">
        <v>61</v>
      </c>
      <c r="C14" s="46">
        <f>stock!W39/1000</f>
        <v>0.124442</v>
      </c>
      <c r="D14" s="50">
        <f>efficiency!W27/100</f>
        <v>0.5</v>
      </c>
      <c r="E14" s="20">
        <f>'secondary energy'!W26</f>
        <v>14.379021</v>
      </c>
      <c r="F14" s="20">
        <f t="shared" si="0"/>
        <v>57.77398707831761</v>
      </c>
      <c r="G14" s="42">
        <v>1000</v>
      </c>
      <c r="H14" s="44">
        <f t="shared" si="1"/>
        <v>5.7773987078317608E-2</v>
      </c>
      <c r="I14" s="20">
        <v>50</v>
      </c>
      <c r="J14" s="47">
        <f t="shared" si="2"/>
        <v>462.11435280000006</v>
      </c>
      <c r="K14" s="48">
        <f t="shared" si="3"/>
        <v>0.1250209752808128</v>
      </c>
    </row>
    <row r="15" spans="1:12" x14ac:dyDescent="0.25">
      <c r="A15" s="20" t="s">
        <v>47</v>
      </c>
      <c r="B15" s="20" t="s">
        <v>64</v>
      </c>
      <c r="C15" s="46">
        <f>stock!W40/1000</f>
        <v>0.11401</v>
      </c>
      <c r="D15" s="50">
        <f>efficiency!W30/100</f>
        <v>0.78</v>
      </c>
      <c r="E15" s="20">
        <f>'secondary energy'!W27</f>
        <v>5.7887409999999999</v>
      </c>
      <c r="F15" s="20">
        <f t="shared" si="0"/>
        <v>39.60370125427594</v>
      </c>
      <c r="G15" s="42">
        <v>1000</v>
      </c>
      <c r="H15" s="44">
        <f t="shared" si="1"/>
        <v>3.9603701254275939E-2</v>
      </c>
      <c r="I15" s="20">
        <v>105</v>
      </c>
      <c r="J15" s="47">
        <f t="shared" si="2"/>
        <v>970.44014088000029</v>
      </c>
      <c r="K15" s="48">
        <f t="shared" si="3"/>
        <v>4.0810040296110475E-2</v>
      </c>
    </row>
    <row r="16" spans="1:12" x14ac:dyDescent="0.25">
      <c r="A16" s="20" t="s">
        <v>45</v>
      </c>
      <c r="B16" s="20" t="s">
        <v>62</v>
      </c>
      <c r="C16" s="46">
        <f>stock!W41/1000</f>
        <v>3.3182000000000003E-2</v>
      </c>
      <c r="D16" s="50">
        <f>efficiency!W35/100</f>
        <v>0.8</v>
      </c>
      <c r="E16" s="20">
        <f>'secondary energy'!W28</f>
        <v>2.3603200000000002</v>
      </c>
      <c r="F16" s="20">
        <f t="shared" si="0"/>
        <v>56.906033391597852</v>
      </c>
      <c r="G16" s="42">
        <v>1000</v>
      </c>
      <c r="H16" s="44">
        <f t="shared" si="1"/>
        <v>5.6906033391597853E-2</v>
      </c>
      <c r="I16" s="20">
        <v>80</v>
      </c>
      <c r="J16" s="47">
        <f t="shared" si="2"/>
        <v>739.38296448000017</v>
      </c>
      <c r="K16" s="48">
        <f t="shared" si="3"/>
        <v>7.6964220336911915E-2</v>
      </c>
    </row>
    <row r="17" spans="1:11" x14ac:dyDescent="0.25">
      <c r="A17" s="20" t="s">
        <v>46</v>
      </c>
      <c r="B17" s="20" t="s">
        <v>63</v>
      </c>
      <c r="C17" s="46">
        <f>stock!W42/1000</f>
        <v>2.0537E-2</v>
      </c>
      <c r="D17" s="50">
        <f>efficiency!W39/100</f>
        <v>0.78</v>
      </c>
      <c r="E17" s="20">
        <f>'secondary energy'!W29</f>
        <v>0.71361300000000005</v>
      </c>
      <c r="F17" s="20">
        <f t="shared" si="0"/>
        <v>27.103186443979165</v>
      </c>
      <c r="G17" s="42">
        <v>1000</v>
      </c>
      <c r="H17" s="44">
        <f t="shared" si="1"/>
        <v>2.7103186443979164E-2</v>
      </c>
      <c r="I17">
        <v>105</v>
      </c>
      <c r="J17" s="47">
        <f t="shared" si="2"/>
        <v>970.44014088000029</v>
      </c>
      <c r="K17" s="48">
        <f t="shared" si="3"/>
        <v>2.7928756553085132E-2</v>
      </c>
    </row>
    <row r="18" spans="1:11" x14ac:dyDescent="0.25">
      <c r="A18" s="20"/>
    </row>
    <row r="19" spans="1:11" s="20" customFormat="1" x14ac:dyDescent="0.25">
      <c r="A19" s="20" t="s">
        <v>66</v>
      </c>
      <c r="C19" s="20">
        <v>1</v>
      </c>
      <c r="E19" s="47">
        <f>SUM(E3:E17)</f>
        <v>314.63171299999999</v>
      </c>
      <c r="F19" s="46" t="s">
        <v>78</v>
      </c>
      <c r="J19" s="41"/>
    </row>
    <row r="20" spans="1:11" s="20" customFormat="1" x14ac:dyDescent="0.25"/>
    <row r="21" spans="1:11" x14ac:dyDescent="0.25">
      <c r="A21" s="23" t="s">
        <v>48</v>
      </c>
      <c r="B21" s="20">
        <f>0.293071*1000/1000000000</f>
        <v>2.9307100000000004E-7</v>
      </c>
      <c r="C21" s="20" t="s">
        <v>49</v>
      </c>
      <c r="F21" s="23"/>
      <c r="G21" s="41"/>
      <c r="H21" s="40"/>
      <c r="J21" s="41"/>
    </row>
    <row r="22" spans="1:11" x14ac:dyDescent="0.25">
      <c r="A22" s="23" t="s">
        <v>51</v>
      </c>
      <c r="B22" s="20">
        <f>8760*3600/1000000</f>
        <v>31.536000000000001</v>
      </c>
      <c r="C22" s="20" t="s">
        <v>67</v>
      </c>
      <c r="H22" s="43"/>
    </row>
    <row r="24" spans="1:11" x14ac:dyDescent="0.25">
      <c r="A24" s="20" t="s">
        <v>65</v>
      </c>
    </row>
    <row r="25" spans="1:11" x14ac:dyDescent="0.25">
      <c r="A25" s="20" t="s">
        <v>70</v>
      </c>
    </row>
    <row r="27" spans="1:11" x14ac:dyDescent="0.25">
      <c r="J27" s="40"/>
    </row>
    <row r="28" spans="1:11" x14ac:dyDescent="0.25">
      <c r="J28" s="40"/>
    </row>
    <row r="29" spans="1:11" x14ac:dyDescent="0.25">
      <c r="J29" s="40"/>
    </row>
    <row r="30" spans="1:11" x14ac:dyDescent="0.25">
      <c r="A30" s="20"/>
    </row>
    <row r="31" spans="1:11" x14ac:dyDescent="0.25">
      <c r="A31" s="20"/>
    </row>
    <row r="32" spans="1:11" x14ac:dyDescent="0.25">
      <c r="A32" s="20"/>
    </row>
    <row r="33" spans="1:1" x14ac:dyDescent="0.25">
      <c r="A33" s="20"/>
    </row>
    <row r="34" spans="1:1" x14ac:dyDescent="0.25">
      <c r="A34" s="20"/>
    </row>
    <row r="35" spans="1:1" x14ac:dyDescent="0.25">
      <c r="A35" s="20"/>
    </row>
    <row r="36" spans="1:1" x14ac:dyDescent="0.25">
      <c r="A36" s="20"/>
    </row>
    <row r="37" spans="1:1" x14ac:dyDescent="0.25">
      <c r="A37" s="20"/>
    </row>
    <row r="38" spans="1:1" x14ac:dyDescent="0.25">
      <c r="A38" s="20"/>
    </row>
    <row r="39" spans="1:1" x14ac:dyDescent="0.25">
      <c r="A39" s="20"/>
    </row>
    <row r="40" spans="1:1" x14ac:dyDescent="0.25">
      <c r="A40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W74"/>
  <sheetViews>
    <sheetView topLeftCell="A25" zoomScale="85" zoomScaleNormal="85" workbookViewId="0">
      <selection activeCell="W59" sqref="W59"/>
    </sheetView>
  </sheetViews>
  <sheetFormatPr defaultRowHeight="15" x14ac:dyDescent="0.25"/>
  <cols>
    <col min="2" max="2" width="37.7109375" customWidth="1"/>
  </cols>
  <sheetData>
    <row r="1" spans="1:23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5" spans="1:23" ht="18" x14ac:dyDescent="0.25">
      <c r="A5" s="22" t="s">
        <v>0</v>
      </c>
      <c r="B5" s="20"/>
      <c r="C5" s="20"/>
      <c r="D5" s="20"/>
      <c r="E5" s="20"/>
      <c r="F5" s="23"/>
      <c r="G5" s="23"/>
      <c r="H5" s="23"/>
      <c r="I5" s="23"/>
      <c r="J5" s="23"/>
      <c r="K5" s="23"/>
      <c r="L5" s="23"/>
      <c r="M5" s="23"/>
      <c r="N5" s="23"/>
      <c r="O5" s="23"/>
      <c r="P5" s="20"/>
      <c r="Q5" s="20"/>
      <c r="R5" s="20"/>
      <c r="S5" s="20"/>
      <c r="T5" s="20"/>
      <c r="U5" s="20"/>
      <c r="V5" s="20"/>
      <c r="W5" s="20"/>
    </row>
    <row r="6" spans="1:23" ht="18" x14ac:dyDescent="0.25">
      <c r="A6" s="22"/>
      <c r="B6" s="20"/>
      <c r="C6" s="20"/>
      <c r="D6" s="20"/>
      <c r="E6" s="20"/>
      <c r="F6" s="23"/>
      <c r="G6" s="23"/>
      <c r="H6" s="23"/>
      <c r="I6" s="23"/>
      <c r="J6" s="23"/>
      <c r="K6" s="23"/>
      <c r="L6" s="23"/>
      <c r="M6" s="23"/>
      <c r="N6" s="23"/>
      <c r="O6" s="23"/>
      <c r="P6" s="20"/>
      <c r="Q6" s="20"/>
      <c r="R6" s="20"/>
      <c r="S6" s="20"/>
      <c r="T6" s="20"/>
      <c r="U6" s="20"/>
      <c r="V6" s="20"/>
      <c r="W6" s="20"/>
    </row>
    <row r="7" spans="1:23" ht="15.75" x14ac:dyDescent="0.25">
      <c r="A7" s="24" t="s">
        <v>1</v>
      </c>
      <c r="B7" s="20"/>
      <c r="C7" s="23"/>
      <c r="D7" s="23"/>
      <c r="E7" s="23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spans="1:23" ht="15.75" x14ac:dyDescent="0.25">
      <c r="A8" s="24" t="s">
        <v>36</v>
      </c>
      <c r="B8" s="21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spans="1:23" ht="15.75" x14ac:dyDescent="0.25">
      <c r="A9" s="20"/>
      <c r="B9" s="20"/>
      <c r="C9" s="26"/>
      <c r="D9" s="26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spans="1:23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 ht="15.75" thickBot="1" x14ac:dyDescent="0.3">
      <c r="A11" s="20"/>
      <c r="B11" s="20"/>
      <c r="C11" s="27">
        <v>2000</v>
      </c>
      <c r="D11" s="27">
        <v>2001</v>
      </c>
      <c r="E11" s="27">
        <v>2002</v>
      </c>
      <c r="F11" s="27">
        <v>2003</v>
      </c>
      <c r="G11" s="27">
        <v>2004</v>
      </c>
      <c r="H11" s="27">
        <v>2005</v>
      </c>
      <c r="I11" s="27">
        <v>2006</v>
      </c>
      <c r="J11" s="27">
        <v>2007</v>
      </c>
      <c r="K11" s="27">
        <v>2008</v>
      </c>
      <c r="L11" s="27">
        <v>2009</v>
      </c>
      <c r="M11" s="27">
        <v>2010</v>
      </c>
      <c r="N11" s="27">
        <v>2011</v>
      </c>
      <c r="O11" s="27">
        <v>2012</v>
      </c>
      <c r="P11" s="27">
        <v>2013</v>
      </c>
      <c r="Q11" s="27">
        <v>2014</v>
      </c>
      <c r="R11" s="27">
        <v>2015</v>
      </c>
      <c r="S11" s="27">
        <v>2016</v>
      </c>
      <c r="T11" s="27">
        <v>2017</v>
      </c>
      <c r="U11" s="27">
        <v>2018</v>
      </c>
      <c r="V11" s="27">
        <v>2019</v>
      </c>
      <c r="W11" s="27">
        <v>2020</v>
      </c>
    </row>
    <row r="12" spans="1:23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x14ac:dyDescent="0.25">
      <c r="A13" s="28"/>
      <c r="B13" s="29" t="s">
        <v>37</v>
      </c>
      <c r="C13" s="30">
        <v>4467.5529999999999</v>
      </c>
      <c r="D13" s="30">
        <v>4534.1440000000002</v>
      </c>
      <c r="E13" s="30">
        <v>4613.0280000000002</v>
      </c>
      <c r="F13" s="30">
        <v>4686.6750000000002</v>
      </c>
      <c r="G13" s="30">
        <v>4767.2889999999998</v>
      </c>
      <c r="H13" s="30">
        <v>4845.3670000000002</v>
      </c>
      <c r="I13" s="30">
        <v>4916.95</v>
      </c>
      <c r="J13" s="30">
        <v>4978.1419999999998</v>
      </c>
      <c r="K13" s="30">
        <v>5042.7460000000001</v>
      </c>
      <c r="L13" s="30">
        <v>5095.0069999999996</v>
      </c>
      <c r="M13" s="30">
        <v>5153.6509999999998</v>
      </c>
      <c r="N13" s="30">
        <v>5211.1120000000001</v>
      </c>
      <c r="O13" s="30">
        <v>5266.2539999999999</v>
      </c>
      <c r="P13" s="30">
        <v>5321.6679999999997</v>
      </c>
      <c r="Q13" s="30">
        <v>5374.7939999999999</v>
      </c>
      <c r="R13" s="30">
        <v>5443.9870000000001</v>
      </c>
      <c r="S13" s="30">
        <v>5511.7579999999998</v>
      </c>
      <c r="T13" s="30">
        <v>5577.3149999999996</v>
      </c>
      <c r="U13" s="30">
        <v>5668.3029999999999</v>
      </c>
      <c r="V13" s="30">
        <v>5752.2169999999996</v>
      </c>
      <c r="W13" s="30">
        <v>5835.7960000000003</v>
      </c>
    </row>
    <row r="14" spans="1:23" ht="26.25" x14ac:dyDescent="0.25">
      <c r="A14" s="20"/>
      <c r="B14" s="31" t="s">
        <v>38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pans="1:23" x14ac:dyDescent="0.25">
      <c r="A15" s="20"/>
      <c r="B15" s="33" t="s">
        <v>39</v>
      </c>
      <c r="C15" s="32">
        <v>2526.9490000000001</v>
      </c>
      <c r="D15" s="32">
        <v>2566.5140000000001</v>
      </c>
      <c r="E15" s="32">
        <v>2611.3380000000002</v>
      </c>
      <c r="F15" s="32">
        <v>2655.4409999999998</v>
      </c>
      <c r="G15" s="32">
        <v>2701.0320000000002</v>
      </c>
      <c r="H15" s="32">
        <v>2741.4810000000002</v>
      </c>
      <c r="I15" s="32">
        <v>2778.509</v>
      </c>
      <c r="J15" s="32">
        <v>2812.05</v>
      </c>
      <c r="K15" s="32">
        <v>2843.692</v>
      </c>
      <c r="L15" s="32">
        <v>2865.7339999999999</v>
      </c>
      <c r="M15" s="32">
        <v>2890.3780000000002</v>
      </c>
      <c r="N15" s="32">
        <v>2912.26</v>
      </c>
      <c r="O15" s="32">
        <v>2935.66</v>
      </c>
      <c r="P15" s="32">
        <v>2955.864</v>
      </c>
      <c r="Q15" s="32">
        <v>2975.8</v>
      </c>
      <c r="R15" s="32">
        <v>2993.0509999999999</v>
      </c>
      <c r="S15" s="32">
        <v>3021.2649999999999</v>
      </c>
      <c r="T15" s="32">
        <v>3046.7190000000001</v>
      </c>
      <c r="U15" s="32">
        <v>3090.8389999999999</v>
      </c>
      <c r="V15" s="32">
        <v>3139.107</v>
      </c>
      <c r="W15" s="32">
        <v>3175.8620000000001</v>
      </c>
    </row>
    <row r="16" spans="1:23" x14ac:dyDescent="0.25">
      <c r="A16" s="20"/>
      <c r="B16" s="33" t="s">
        <v>40</v>
      </c>
      <c r="C16" s="32">
        <v>625.41099999999994</v>
      </c>
      <c r="D16" s="32">
        <v>645.08699999999999</v>
      </c>
      <c r="E16" s="32">
        <v>663.29</v>
      </c>
      <c r="F16" s="32">
        <v>679.78099999999995</v>
      </c>
      <c r="G16" s="32">
        <v>698.25900000000001</v>
      </c>
      <c r="H16" s="32">
        <v>714.88099999999997</v>
      </c>
      <c r="I16" s="32">
        <v>731.06100000000004</v>
      </c>
      <c r="J16" s="32">
        <v>745.74900000000002</v>
      </c>
      <c r="K16" s="32">
        <v>759.56700000000001</v>
      </c>
      <c r="L16" s="32">
        <v>771.99199999999996</v>
      </c>
      <c r="M16" s="32">
        <v>784.05899999999997</v>
      </c>
      <c r="N16" s="32">
        <v>796.10299999999995</v>
      </c>
      <c r="O16" s="32">
        <v>808.17</v>
      </c>
      <c r="P16" s="32">
        <v>821.43600000000004</v>
      </c>
      <c r="Q16" s="32">
        <v>833.81500000000005</v>
      </c>
      <c r="R16" s="32">
        <v>844.34799999999996</v>
      </c>
      <c r="S16" s="32">
        <v>856.24599999999998</v>
      </c>
      <c r="T16" s="32">
        <v>870.625</v>
      </c>
      <c r="U16" s="32">
        <v>887.78200000000004</v>
      </c>
      <c r="V16" s="32">
        <v>901.03599999999994</v>
      </c>
      <c r="W16" s="32">
        <v>916.23400000000004</v>
      </c>
    </row>
    <row r="17" spans="2:23" x14ac:dyDescent="0.25">
      <c r="B17" s="33" t="s">
        <v>41</v>
      </c>
      <c r="C17" s="32">
        <v>1290.3240000000001</v>
      </c>
      <c r="D17" s="32">
        <v>1297.748</v>
      </c>
      <c r="E17" s="32">
        <v>1313.5160000000001</v>
      </c>
      <c r="F17" s="32">
        <v>1326.431</v>
      </c>
      <c r="G17" s="32">
        <v>1342.798</v>
      </c>
      <c r="H17" s="32">
        <v>1363.65</v>
      </c>
      <c r="I17" s="32">
        <v>1381.886</v>
      </c>
      <c r="J17" s="32">
        <v>1394.7280000000001</v>
      </c>
      <c r="K17" s="32">
        <v>1413.7619999999999</v>
      </c>
      <c r="L17" s="32">
        <v>1431.509</v>
      </c>
      <c r="M17" s="32">
        <v>1453.373</v>
      </c>
      <c r="N17" s="32">
        <v>1476.855</v>
      </c>
      <c r="O17" s="32">
        <v>1496.4359999999999</v>
      </c>
      <c r="P17" s="32">
        <v>1518.268</v>
      </c>
      <c r="Q17" s="32">
        <v>1538.972</v>
      </c>
      <c r="R17" s="32">
        <v>1580.2919999999999</v>
      </c>
      <c r="S17" s="32">
        <v>1607.85</v>
      </c>
      <c r="T17" s="32">
        <v>1633.453</v>
      </c>
      <c r="U17" s="32">
        <v>1663.0619999999999</v>
      </c>
      <c r="V17" s="32">
        <v>1685.3779999999999</v>
      </c>
      <c r="W17" s="32">
        <v>1716.934</v>
      </c>
    </row>
    <row r="18" spans="2:23" x14ac:dyDescent="0.25">
      <c r="B18" s="33" t="s">
        <v>42</v>
      </c>
      <c r="C18" s="32">
        <v>24.869</v>
      </c>
      <c r="D18" s="32">
        <v>24.795000000000002</v>
      </c>
      <c r="E18" s="32">
        <v>24.884</v>
      </c>
      <c r="F18" s="32">
        <v>25.021999999999998</v>
      </c>
      <c r="G18" s="32">
        <v>25.2</v>
      </c>
      <c r="H18" s="32">
        <v>25.356000000000002</v>
      </c>
      <c r="I18" s="32">
        <v>25.495000000000001</v>
      </c>
      <c r="J18" s="32">
        <v>25.614999999999998</v>
      </c>
      <c r="K18" s="32">
        <v>25.725000000000001</v>
      </c>
      <c r="L18" s="32">
        <v>25.773</v>
      </c>
      <c r="M18" s="32">
        <v>25.841000000000001</v>
      </c>
      <c r="N18" s="32">
        <v>25.893999999999998</v>
      </c>
      <c r="O18" s="32">
        <v>25.988</v>
      </c>
      <c r="P18" s="32">
        <v>26.100999999999999</v>
      </c>
      <c r="Q18" s="32">
        <v>26.207000000000001</v>
      </c>
      <c r="R18" s="32">
        <v>26.295999999999999</v>
      </c>
      <c r="S18" s="32">
        <v>26.398</v>
      </c>
      <c r="T18" s="32">
        <v>26.518000000000001</v>
      </c>
      <c r="U18" s="32">
        <v>26.62</v>
      </c>
      <c r="V18" s="32">
        <v>26.696000000000002</v>
      </c>
      <c r="W18" s="32">
        <v>26.765999999999998</v>
      </c>
    </row>
    <row r="19" spans="2:23" x14ac:dyDescent="0.25">
      <c r="B19" s="20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spans="2:23" x14ac:dyDescent="0.25">
      <c r="B20" s="34" t="s">
        <v>20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</row>
    <row r="21" spans="2:23" x14ac:dyDescent="0.25">
      <c r="B21" s="33" t="s">
        <v>39</v>
      </c>
      <c r="C21" s="32">
        <v>56.562255</v>
      </c>
      <c r="D21" s="32">
        <v>56.604152999999997</v>
      </c>
      <c r="E21" s="32">
        <v>56.607895999999997</v>
      </c>
      <c r="F21" s="32">
        <v>56.659390000000002</v>
      </c>
      <c r="G21" s="32">
        <v>56.657609000000001</v>
      </c>
      <c r="H21" s="32">
        <v>56.579430000000002</v>
      </c>
      <c r="I21" s="32">
        <v>56.508786999999998</v>
      </c>
      <c r="J21" s="32">
        <v>56.487954999999999</v>
      </c>
      <c r="K21" s="32">
        <v>56.391736999999999</v>
      </c>
      <c r="L21" s="32">
        <v>56.245925999999997</v>
      </c>
      <c r="M21" s="32">
        <v>56.084088000000001</v>
      </c>
      <c r="N21" s="32">
        <v>55.885584000000001</v>
      </c>
      <c r="O21" s="32">
        <v>55.744754999999998</v>
      </c>
      <c r="P21" s="32">
        <v>55.543931999999998</v>
      </c>
      <c r="Q21" s="32">
        <v>55.365839000000001</v>
      </c>
      <c r="R21" s="32">
        <v>54.979027000000002</v>
      </c>
      <c r="S21" s="32">
        <v>54.814897999999999</v>
      </c>
      <c r="T21" s="32">
        <v>54.626989000000002</v>
      </c>
      <c r="U21" s="32">
        <v>54.528478999999997</v>
      </c>
      <c r="V21" s="32">
        <v>54.572119999999998</v>
      </c>
      <c r="W21" s="32">
        <v>54.420381999999996</v>
      </c>
    </row>
    <row r="22" spans="2:23" x14ac:dyDescent="0.25">
      <c r="B22" s="33" t="s">
        <v>40</v>
      </c>
      <c r="C22" s="32">
        <v>13.998961</v>
      </c>
      <c r="D22" s="32">
        <v>14.227314</v>
      </c>
      <c r="E22" s="32">
        <v>14.378624</v>
      </c>
      <c r="F22" s="32">
        <v>14.504547000000001</v>
      </c>
      <c r="G22" s="32">
        <v>14.646877</v>
      </c>
      <c r="H22" s="32">
        <v>14.753906000000001</v>
      </c>
      <c r="I22" s="32">
        <v>14.868180000000001</v>
      </c>
      <c r="J22" s="32">
        <v>14.980468</v>
      </c>
      <c r="K22" s="32">
        <v>15.062566</v>
      </c>
      <c r="L22" s="32">
        <v>15.151929000000001</v>
      </c>
      <c r="M22" s="32">
        <v>15.213659</v>
      </c>
      <c r="N22" s="32">
        <v>15.277027</v>
      </c>
      <c r="O22" s="32">
        <v>15.346202</v>
      </c>
      <c r="P22" s="32">
        <v>15.435686</v>
      </c>
      <c r="Q22" s="32">
        <v>15.513431000000001</v>
      </c>
      <c r="R22" s="32">
        <v>15.509734999999999</v>
      </c>
      <c r="S22" s="32">
        <v>15.534897000000001</v>
      </c>
      <c r="T22" s="32">
        <v>15.610109</v>
      </c>
      <c r="U22" s="32">
        <v>15.662217999999999</v>
      </c>
      <c r="V22" s="32">
        <v>15.664151</v>
      </c>
      <c r="W22" s="32">
        <v>15.700240000000001</v>
      </c>
    </row>
    <row r="23" spans="2:23" x14ac:dyDescent="0.25">
      <c r="B23" s="33" t="s">
        <v>41</v>
      </c>
      <c r="C23" s="32">
        <v>28.882118999999999</v>
      </c>
      <c r="D23" s="32">
        <v>28.621673000000001</v>
      </c>
      <c r="E23" s="32">
        <v>28.474052</v>
      </c>
      <c r="F23" s="32">
        <v>28.302175999999999</v>
      </c>
      <c r="G23" s="32">
        <v>28.166906000000001</v>
      </c>
      <c r="H23" s="32">
        <v>28.143369</v>
      </c>
      <c r="I23" s="32">
        <v>28.104528999999999</v>
      </c>
      <c r="J23" s="32">
        <v>28.017035</v>
      </c>
      <c r="K23" s="32">
        <v>28.035554000000001</v>
      </c>
      <c r="L23" s="32">
        <v>28.096302999999999</v>
      </c>
      <c r="M23" s="32">
        <v>28.200835999999999</v>
      </c>
      <c r="N23" s="32">
        <v>28.340494</v>
      </c>
      <c r="O23" s="32">
        <v>28.415564</v>
      </c>
      <c r="P23" s="32">
        <v>28.529923</v>
      </c>
      <c r="Q23" s="32">
        <v>28.633130999999999</v>
      </c>
      <c r="R23" s="32">
        <v>29.028206999999998</v>
      </c>
      <c r="S23" s="32">
        <v>29.171268999999999</v>
      </c>
      <c r="T23" s="32">
        <v>29.28744</v>
      </c>
      <c r="U23" s="32">
        <v>29.339676999999998</v>
      </c>
      <c r="V23" s="32">
        <v>29.299621999999999</v>
      </c>
      <c r="W23" s="32">
        <v>29.420732000000001</v>
      </c>
    </row>
    <row r="24" spans="2:23" x14ac:dyDescent="0.25">
      <c r="B24" s="33" t="s">
        <v>42</v>
      </c>
      <c r="C24" s="32">
        <v>0.55666599999999999</v>
      </c>
      <c r="D24" s="32">
        <f>SUM(D4:D18)</f>
        <v>11069.287999999999</v>
      </c>
      <c r="E24" s="32"/>
      <c r="F24" s="32">
        <v>0.533887</v>
      </c>
      <c r="G24" s="32">
        <v>0.52860799999999997</v>
      </c>
      <c r="H24" s="32">
        <v>0.52329499999999995</v>
      </c>
      <c r="I24" s="32">
        <v>0.51850300000000005</v>
      </c>
      <c r="J24" s="32">
        <v>0.51454100000000003</v>
      </c>
      <c r="K24" s="32">
        <v>0.51014199999999998</v>
      </c>
      <c r="L24" s="32">
        <v>0.50584099999999999</v>
      </c>
      <c r="M24" s="32">
        <v>0.50141599999999997</v>
      </c>
      <c r="N24" s="32">
        <v>0.49689499999999998</v>
      </c>
      <c r="O24" s="32">
        <v>0.49347999999999997</v>
      </c>
      <c r="P24" s="32">
        <v>0.49045899999999998</v>
      </c>
      <c r="Q24" s="32">
        <v>0.487599</v>
      </c>
      <c r="R24" s="32">
        <v>0.48303099999999999</v>
      </c>
      <c r="S24" s="32">
        <v>0.478935</v>
      </c>
      <c r="T24" s="32">
        <v>0.475462</v>
      </c>
      <c r="U24" s="32">
        <v>0.46962700000000002</v>
      </c>
      <c r="V24" s="32">
        <v>0.46410699999999999</v>
      </c>
      <c r="W24" s="32">
        <v>0.458646</v>
      </c>
    </row>
    <row r="25" spans="2:23" x14ac:dyDescent="0.25">
      <c r="B25" s="33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spans="2:23" x14ac:dyDescent="0.25">
      <c r="B26" s="35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  <row r="27" spans="2:23" ht="41.25" customHeight="1" x14ac:dyDescent="0.25">
      <c r="B27" s="31" t="s">
        <v>43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</row>
    <row r="28" spans="2:23" x14ac:dyDescent="0.25">
      <c r="B28" s="33" t="s">
        <v>5</v>
      </c>
      <c r="C28" s="32">
        <v>153.54599999999999</v>
      </c>
      <c r="D28" s="32">
        <v>123.23099999999999</v>
      </c>
      <c r="E28" s="32">
        <v>89.436999999999998</v>
      </c>
      <c r="F28" s="32">
        <v>64.69</v>
      </c>
      <c r="G28" s="32">
        <v>47.128999999999998</v>
      </c>
      <c r="H28" s="32">
        <v>38.216000000000001</v>
      </c>
      <c r="I28" s="32">
        <v>26.773</v>
      </c>
      <c r="J28" s="32">
        <v>14.472</v>
      </c>
      <c r="K28" s="32">
        <v>7.7190000000000003</v>
      </c>
      <c r="L28" s="32">
        <v>3.032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2:23" x14ac:dyDescent="0.25">
      <c r="B29" s="33" t="s">
        <v>6</v>
      </c>
      <c r="C29" s="32">
        <v>210.21700000000001</v>
      </c>
      <c r="D29" s="32">
        <v>227.386</v>
      </c>
      <c r="E29" s="32">
        <v>230.43</v>
      </c>
      <c r="F29" s="32">
        <v>236.24700000000001</v>
      </c>
      <c r="G29" s="32">
        <v>246.208</v>
      </c>
      <c r="H29" s="32">
        <v>251.00899999999999</v>
      </c>
      <c r="I29" s="32">
        <v>250.351</v>
      </c>
      <c r="J29" s="32">
        <v>249.55799999999999</v>
      </c>
      <c r="K29" s="32">
        <v>248.70699999999999</v>
      </c>
      <c r="L29" s="32">
        <v>247.56100000000001</v>
      </c>
      <c r="M29" s="32">
        <v>245.19499999999999</v>
      </c>
      <c r="N29" s="32">
        <v>241.874</v>
      </c>
      <c r="O29" s="32">
        <v>237.32900000000001</v>
      </c>
      <c r="P29" s="32">
        <v>231.07</v>
      </c>
      <c r="Q29" s="32">
        <v>221.476</v>
      </c>
      <c r="R29" s="32">
        <v>210.20400000000001</v>
      </c>
      <c r="S29" s="32">
        <v>197.191</v>
      </c>
      <c r="T29" s="32">
        <v>182.553</v>
      </c>
      <c r="U29" s="32">
        <v>166.87100000000001</v>
      </c>
      <c r="V29" s="32">
        <v>149.89099999999999</v>
      </c>
      <c r="W29" s="32">
        <v>132.24799999999999</v>
      </c>
    </row>
    <row r="30" spans="2:23" x14ac:dyDescent="0.25">
      <c r="B30" s="33" t="s">
        <v>7</v>
      </c>
      <c r="C30" s="32">
        <v>0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2:23" x14ac:dyDescent="0.25">
      <c r="B31" s="33" t="s">
        <v>8</v>
      </c>
      <c r="C31" s="32">
        <v>1355.7339999999999</v>
      </c>
      <c r="D31" s="32">
        <v>1275.8979999999999</v>
      </c>
      <c r="E31" s="32">
        <v>1188.6469999999999</v>
      </c>
      <c r="F31" s="32">
        <v>1092.807</v>
      </c>
      <c r="G31" s="32">
        <v>987.61</v>
      </c>
      <c r="H31" s="32">
        <v>877.19100000000003</v>
      </c>
      <c r="I31" s="32">
        <v>764.428</v>
      </c>
      <c r="J31" s="32">
        <v>652.09400000000005</v>
      </c>
      <c r="K31" s="32">
        <v>544.60599999999999</v>
      </c>
      <c r="L31" s="32">
        <v>438.56700000000001</v>
      </c>
      <c r="M31" s="32">
        <v>341.529</v>
      </c>
      <c r="N31" s="32">
        <v>249.113</v>
      </c>
      <c r="O31" s="32">
        <v>163.071</v>
      </c>
      <c r="P31" s="32">
        <v>85.962000000000003</v>
      </c>
      <c r="Q31" s="32">
        <v>56.207000000000001</v>
      </c>
      <c r="R31" s="32">
        <v>31.045000000000002</v>
      </c>
      <c r="S31" s="32">
        <v>14.971</v>
      </c>
      <c r="T31" s="32">
        <v>4.617</v>
      </c>
      <c r="U31" s="32">
        <v>0</v>
      </c>
      <c r="V31" s="32">
        <v>0</v>
      </c>
      <c r="W31" s="32">
        <v>0</v>
      </c>
    </row>
    <row r="32" spans="2:23" x14ac:dyDescent="0.25">
      <c r="B32" s="33" t="s">
        <v>9</v>
      </c>
      <c r="C32" s="32">
        <v>869.08100000000002</v>
      </c>
      <c r="D32" s="32">
        <v>930.78599999999994</v>
      </c>
      <c r="E32" s="32">
        <v>997.99400000000003</v>
      </c>
      <c r="F32" s="32">
        <v>1055.4110000000001</v>
      </c>
      <c r="G32" s="32">
        <v>1108.441</v>
      </c>
      <c r="H32" s="32">
        <v>1152.5329999999999</v>
      </c>
      <c r="I32" s="32">
        <v>1190.6559999999999</v>
      </c>
      <c r="J32" s="32">
        <v>1223.6130000000001</v>
      </c>
      <c r="K32" s="32">
        <v>1240.0809999999999</v>
      </c>
      <c r="L32" s="32">
        <v>1246.952</v>
      </c>
      <c r="M32" s="32">
        <v>1235.922</v>
      </c>
      <c r="N32" s="32">
        <v>1220.6510000000001</v>
      </c>
      <c r="O32" s="32">
        <v>1200.0550000000001</v>
      </c>
      <c r="P32" s="32">
        <v>1171.374</v>
      </c>
      <c r="Q32" s="32">
        <v>1125.499</v>
      </c>
      <c r="R32" s="32">
        <v>1071.29</v>
      </c>
      <c r="S32" s="32">
        <v>1008.432</v>
      </c>
      <c r="T32" s="32">
        <v>938.822</v>
      </c>
      <c r="U32" s="32">
        <v>867.17899999999997</v>
      </c>
      <c r="V32" s="32">
        <v>794.91700000000003</v>
      </c>
      <c r="W32" s="32">
        <v>724.94</v>
      </c>
    </row>
    <row r="33" spans="2:23" x14ac:dyDescent="0.25">
      <c r="B33" s="33" t="s">
        <v>10</v>
      </c>
      <c r="C33" s="32">
        <v>694.12699999999995</v>
      </c>
      <c r="D33" s="32">
        <v>778.226</v>
      </c>
      <c r="E33" s="32">
        <v>884.01499999999999</v>
      </c>
      <c r="F33" s="32">
        <v>988.87199999999996</v>
      </c>
      <c r="G33" s="32">
        <v>1105.8209999999999</v>
      </c>
      <c r="H33" s="32">
        <v>1224.1479999999999</v>
      </c>
      <c r="I33" s="32">
        <v>1355.326</v>
      </c>
      <c r="J33" s="32">
        <v>1475.251</v>
      </c>
      <c r="K33" s="32">
        <v>1602.1320000000001</v>
      </c>
      <c r="L33" s="32">
        <v>1722.6320000000001</v>
      </c>
      <c r="M33" s="32">
        <v>1856.56</v>
      </c>
      <c r="N33" s="32">
        <v>1986.2750000000001</v>
      </c>
      <c r="O33" s="32">
        <v>2112.6210000000001</v>
      </c>
      <c r="P33" s="32">
        <v>2239.154</v>
      </c>
      <c r="Q33" s="32">
        <v>2347.4670000000001</v>
      </c>
      <c r="R33" s="32">
        <v>2469.6219999999998</v>
      </c>
      <c r="S33" s="32">
        <v>2587.8919999999998</v>
      </c>
      <c r="T33" s="32">
        <v>2703.8910000000001</v>
      </c>
      <c r="U33" s="32">
        <v>2843.232</v>
      </c>
      <c r="V33" s="32">
        <v>2972.9920000000002</v>
      </c>
      <c r="W33" s="32">
        <v>3099.7629999999999</v>
      </c>
    </row>
    <row r="34" spans="2:23" x14ac:dyDescent="0.25">
      <c r="B34" s="33" t="s">
        <v>11</v>
      </c>
      <c r="C34" s="32">
        <v>673.15899999999999</v>
      </c>
      <c r="D34" s="32">
        <v>673.07</v>
      </c>
      <c r="E34" s="32">
        <v>678.34699999999998</v>
      </c>
      <c r="F34" s="32">
        <v>683.61300000000006</v>
      </c>
      <c r="G34" s="32">
        <v>690.16600000000005</v>
      </c>
      <c r="H34" s="32">
        <v>699.87</v>
      </c>
      <c r="I34" s="32">
        <v>712.54300000000001</v>
      </c>
      <c r="J34" s="32">
        <v>725.91700000000003</v>
      </c>
      <c r="K34" s="32">
        <v>744.31200000000001</v>
      </c>
      <c r="L34" s="32">
        <v>763.52700000000004</v>
      </c>
      <c r="M34" s="32">
        <v>785.01499999999999</v>
      </c>
      <c r="N34" s="32">
        <v>806.03499999999997</v>
      </c>
      <c r="O34" s="32">
        <v>826.88199999999995</v>
      </c>
      <c r="P34" s="32">
        <v>848.072</v>
      </c>
      <c r="Q34" s="32">
        <v>864.16200000000003</v>
      </c>
      <c r="R34" s="32">
        <v>885.10400000000004</v>
      </c>
      <c r="S34" s="32">
        <v>905.78300000000002</v>
      </c>
      <c r="T34" s="32">
        <v>927.18399999999997</v>
      </c>
      <c r="U34" s="32">
        <v>946.44200000000001</v>
      </c>
      <c r="V34" s="32">
        <v>964.55100000000004</v>
      </c>
      <c r="W34" s="32">
        <v>983.798</v>
      </c>
    </row>
    <row r="35" spans="2:23" x14ac:dyDescent="0.25">
      <c r="B35" s="33" t="s">
        <v>12</v>
      </c>
      <c r="C35" s="32">
        <v>187.79400000000001</v>
      </c>
      <c r="D35" s="32">
        <v>198.32300000000001</v>
      </c>
      <c r="E35" s="32">
        <v>210.001</v>
      </c>
      <c r="F35" s="32">
        <v>221.708</v>
      </c>
      <c r="G35" s="32">
        <v>233.14500000000001</v>
      </c>
      <c r="H35" s="32">
        <v>244.46899999999999</v>
      </c>
      <c r="I35" s="32">
        <v>254.59200000000001</v>
      </c>
      <c r="J35" s="32">
        <v>265.12900000000002</v>
      </c>
      <c r="K35" s="32">
        <v>275.48399999999998</v>
      </c>
      <c r="L35" s="32">
        <v>285.5</v>
      </c>
      <c r="M35" s="32">
        <v>294.79000000000002</v>
      </c>
      <c r="N35" s="32">
        <v>304.24900000000002</v>
      </c>
      <c r="O35" s="32">
        <v>314.12</v>
      </c>
      <c r="P35" s="32">
        <v>323.61900000000003</v>
      </c>
      <c r="Q35" s="32">
        <v>330.137</v>
      </c>
      <c r="R35" s="32">
        <v>336.92700000000002</v>
      </c>
      <c r="S35" s="32">
        <v>345.88499999999999</v>
      </c>
      <c r="T35" s="32">
        <v>354.95499999999998</v>
      </c>
      <c r="U35" s="32">
        <v>368.20499999999998</v>
      </c>
      <c r="V35" s="32">
        <v>381.839</v>
      </c>
      <c r="W35" s="32">
        <v>394.61900000000003</v>
      </c>
    </row>
    <row r="36" spans="2:23" x14ac:dyDescent="0.25">
      <c r="B36" s="33" t="s">
        <v>13</v>
      </c>
      <c r="C36" s="32">
        <v>56.475999999999999</v>
      </c>
      <c r="D36" s="32">
        <v>56.271000000000001</v>
      </c>
      <c r="E36" s="32">
        <v>56.476999999999997</v>
      </c>
      <c r="F36" s="32">
        <v>56.674999999999997</v>
      </c>
      <c r="G36" s="32">
        <v>57.512</v>
      </c>
      <c r="H36" s="32">
        <v>59.208000000000006</v>
      </c>
      <c r="I36" s="32">
        <v>61.8</v>
      </c>
      <c r="J36" s="32">
        <v>65.283000000000001</v>
      </c>
      <c r="K36" s="32">
        <v>70.061000000000007</v>
      </c>
      <c r="L36" s="32">
        <v>75.929000000000002</v>
      </c>
      <c r="M36" s="32">
        <v>83.090999999999994</v>
      </c>
      <c r="N36" s="32">
        <v>90.918999999999997</v>
      </c>
      <c r="O36" s="32">
        <v>99.504999999999995</v>
      </c>
      <c r="P36" s="32">
        <v>108.929</v>
      </c>
      <c r="Q36" s="32">
        <v>118.46400000000001</v>
      </c>
      <c r="R36" s="32">
        <v>129.471</v>
      </c>
      <c r="S36" s="32">
        <v>141.59699999999998</v>
      </c>
      <c r="T36" s="32">
        <v>154.958</v>
      </c>
      <c r="U36" s="32">
        <v>163.16399999999999</v>
      </c>
      <c r="V36" s="32">
        <v>171.71600000000001</v>
      </c>
      <c r="W36" s="32">
        <v>180.887</v>
      </c>
    </row>
    <row r="37" spans="2:23" x14ac:dyDescent="0.25">
      <c r="B37" s="33" t="s">
        <v>14</v>
      </c>
      <c r="C37" s="32">
        <v>41.875999999999998</v>
      </c>
      <c r="D37" s="32">
        <v>40.74</v>
      </c>
      <c r="E37" s="32">
        <v>42.481999999999999</v>
      </c>
      <c r="F37" s="32">
        <v>46.22</v>
      </c>
      <c r="G37" s="32">
        <v>46.545000000000002</v>
      </c>
      <c r="H37" s="32">
        <v>50.045000000000002</v>
      </c>
      <c r="I37" s="32">
        <v>48.677999999999997</v>
      </c>
      <c r="J37" s="32">
        <v>51.488999999999997</v>
      </c>
      <c r="K37" s="32">
        <v>50.634999999999998</v>
      </c>
      <c r="L37" s="32">
        <v>48.585000000000001</v>
      </c>
      <c r="M37" s="32">
        <v>45.756999999999998</v>
      </c>
      <c r="N37" s="32">
        <v>43.033999999999999</v>
      </c>
      <c r="O37" s="32">
        <v>40.372</v>
      </c>
      <c r="P37" s="32">
        <v>37.914999999999999</v>
      </c>
      <c r="Q37" s="32">
        <v>35.552999999999997</v>
      </c>
      <c r="R37" s="32">
        <v>33.612000000000002</v>
      </c>
      <c r="S37" s="32">
        <v>31.516999999999999</v>
      </c>
      <c r="T37" s="32">
        <v>29.532</v>
      </c>
      <c r="U37" s="32">
        <v>28.846</v>
      </c>
      <c r="V37" s="32">
        <v>28.018000000000001</v>
      </c>
      <c r="W37" s="32">
        <v>27.367000000000001</v>
      </c>
    </row>
    <row r="38" spans="2:23" x14ac:dyDescent="0.25">
      <c r="B38" s="34" t="s">
        <v>15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spans="2:23" x14ac:dyDescent="0.25">
      <c r="B39" s="37" t="s">
        <v>16</v>
      </c>
      <c r="C39" s="32">
        <v>100.31699999999999</v>
      </c>
      <c r="D39" s="32">
        <v>102.11499999999999</v>
      </c>
      <c r="E39" s="32">
        <v>104.05800000000001</v>
      </c>
      <c r="F39" s="32">
        <v>106.111</v>
      </c>
      <c r="G39" s="32">
        <v>107.729</v>
      </c>
      <c r="H39" s="32">
        <v>109.20399999999999</v>
      </c>
      <c r="I39" s="32">
        <v>110.3</v>
      </c>
      <c r="J39" s="32">
        <v>111.58199999999999</v>
      </c>
      <c r="K39" s="32">
        <v>112.932</v>
      </c>
      <c r="L39" s="32">
        <v>114.3</v>
      </c>
      <c r="M39" s="32">
        <v>115.393</v>
      </c>
      <c r="N39" s="32">
        <v>116.536</v>
      </c>
      <c r="O39" s="32">
        <v>117.756</v>
      </c>
      <c r="P39" s="32">
        <v>118.946</v>
      </c>
      <c r="Q39" s="32">
        <v>118.776</v>
      </c>
      <c r="R39" s="32">
        <v>118.89</v>
      </c>
      <c r="S39" s="32">
        <v>119.414</v>
      </c>
      <c r="T39" s="32">
        <v>120.17700000000001</v>
      </c>
      <c r="U39" s="32">
        <v>121.494</v>
      </c>
      <c r="V39" s="32">
        <v>122.982</v>
      </c>
      <c r="W39" s="32">
        <v>124.44199999999999</v>
      </c>
    </row>
    <row r="40" spans="2:23" x14ac:dyDescent="0.25">
      <c r="B40" s="37" t="s">
        <v>17</v>
      </c>
      <c r="C40" s="32">
        <v>91.424999999999997</v>
      </c>
      <c r="D40" s="32">
        <v>93.081000000000003</v>
      </c>
      <c r="E40" s="32">
        <v>94.87</v>
      </c>
      <c r="F40" s="32">
        <v>96.762</v>
      </c>
      <c r="G40" s="32">
        <v>98.263000000000005</v>
      </c>
      <c r="H40" s="32">
        <v>99.637</v>
      </c>
      <c r="I40" s="32">
        <v>100.667</v>
      </c>
      <c r="J40" s="32">
        <v>101.866</v>
      </c>
      <c r="K40" s="32">
        <v>103.125</v>
      </c>
      <c r="L40" s="32">
        <v>104.4</v>
      </c>
      <c r="M40" s="32">
        <v>105.42400000000001</v>
      </c>
      <c r="N40" s="32">
        <v>106.49299999999999</v>
      </c>
      <c r="O40" s="32">
        <v>107.63200000000001</v>
      </c>
      <c r="P40" s="32">
        <v>108.745</v>
      </c>
      <c r="Q40" s="32">
        <v>108.63800000000001</v>
      </c>
      <c r="R40" s="32">
        <v>108.786</v>
      </c>
      <c r="S40" s="32">
        <v>109.304</v>
      </c>
      <c r="T40" s="32">
        <v>110.038</v>
      </c>
      <c r="U40" s="32">
        <v>111.268</v>
      </c>
      <c r="V40" s="32">
        <v>112.651</v>
      </c>
      <c r="W40" s="32">
        <v>114.01</v>
      </c>
    </row>
    <row r="41" spans="2:23" x14ac:dyDescent="0.25">
      <c r="B41" s="37" t="s">
        <v>18</v>
      </c>
      <c r="C41" s="32">
        <v>20.456</v>
      </c>
      <c r="D41" s="32">
        <v>21.228999999999999</v>
      </c>
      <c r="E41" s="32">
        <v>22.027000000000001</v>
      </c>
      <c r="F41" s="32">
        <v>22.843</v>
      </c>
      <c r="G41" s="32">
        <v>23.582000000000001</v>
      </c>
      <c r="H41" s="32">
        <v>24.294</v>
      </c>
      <c r="I41" s="32">
        <v>24.934000000000001</v>
      </c>
      <c r="J41" s="32">
        <v>25.605</v>
      </c>
      <c r="K41" s="32">
        <v>26.286000000000001</v>
      </c>
      <c r="L41" s="32">
        <v>26.969000000000001</v>
      </c>
      <c r="M41" s="32">
        <v>27.58</v>
      </c>
      <c r="N41" s="32">
        <v>28.192</v>
      </c>
      <c r="O41" s="32">
        <v>28.818999999999999</v>
      </c>
      <c r="P41" s="32">
        <v>29.440999999999999</v>
      </c>
      <c r="Q41" s="32">
        <v>29.79</v>
      </c>
      <c r="R41" s="32">
        <v>30.195</v>
      </c>
      <c r="S41" s="32">
        <v>30.669</v>
      </c>
      <c r="T41" s="32">
        <v>31.189</v>
      </c>
      <c r="U41" s="32">
        <v>31.832999999999998</v>
      </c>
      <c r="V41" s="32">
        <v>32.506999999999998</v>
      </c>
      <c r="W41" s="32">
        <v>33.182000000000002</v>
      </c>
    </row>
    <row r="42" spans="2:23" x14ac:dyDescent="0.25">
      <c r="B42" s="37" t="s">
        <v>19</v>
      </c>
      <c r="C42" s="32">
        <v>13.345000000000001</v>
      </c>
      <c r="D42" s="32">
        <v>13.787000000000001</v>
      </c>
      <c r="E42" s="32">
        <v>14.244999999999999</v>
      </c>
      <c r="F42" s="32">
        <v>14.715</v>
      </c>
      <c r="G42" s="32">
        <v>15.137</v>
      </c>
      <c r="H42" s="32">
        <v>15.542</v>
      </c>
      <c r="I42" s="32">
        <v>15.901999999999999</v>
      </c>
      <c r="J42" s="32">
        <v>16.280999999999999</v>
      </c>
      <c r="K42" s="32">
        <v>16.667000000000002</v>
      </c>
      <c r="L42" s="32">
        <v>17.053999999999998</v>
      </c>
      <c r="M42" s="32">
        <v>17.396000000000001</v>
      </c>
      <c r="N42" s="32">
        <v>17.739999999999998</v>
      </c>
      <c r="O42" s="32">
        <v>18.091999999999999</v>
      </c>
      <c r="P42" s="32">
        <v>18.442</v>
      </c>
      <c r="Q42" s="32">
        <v>18.623999999999999</v>
      </c>
      <c r="R42" s="32">
        <v>18.841000000000001</v>
      </c>
      <c r="S42" s="32">
        <v>19.105</v>
      </c>
      <c r="T42" s="32">
        <v>19.399999999999999</v>
      </c>
      <c r="U42" s="32">
        <v>19.766999999999999</v>
      </c>
      <c r="V42" s="32">
        <v>20.152000000000001</v>
      </c>
      <c r="W42" s="32">
        <v>20.536999999999999</v>
      </c>
    </row>
    <row r="43" spans="2:23" x14ac:dyDescent="0.25">
      <c r="B43" s="20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</row>
    <row r="44" spans="2:23" x14ac:dyDescent="0.25">
      <c r="B44" s="34" t="s">
        <v>20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</row>
    <row r="45" spans="2:23" x14ac:dyDescent="0.25">
      <c r="B45" s="33" t="s">
        <v>5</v>
      </c>
      <c r="C45" s="38">
        <v>3.436909</v>
      </c>
      <c r="D45" s="38">
        <v>2.7178550000000001</v>
      </c>
      <c r="E45" s="38">
        <v>1.9387829999999999</v>
      </c>
      <c r="F45" s="38">
        <v>1.380304</v>
      </c>
      <c r="G45" s="38">
        <v>0.98859600000000003</v>
      </c>
      <c r="H45" s="38">
        <v>0.78870899999999999</v>
      </c>
      <c r="I45" s="38">
        <v>0.544512</v>
      </c>
      <c r="J45" s="38">
        <v>0.29071999999999998</v>
      </c>
      <c r="K45" s="38">
        <v>0.15306800000000001</v>
      </c>
      <c r="L45" s="38">
        <v>5.9513000000000003E-2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8">
        <v>0</v>
      </c>
    </row>
    <row r="46" spans="2:23" x14ac:dyDescent="0.25">
      <c r="B46" s="33" t="s">
        <v>6</v>
      </c>
      <c r="C46" s="38">
        <v>4.7054090000000004</v>
      </c>
      <c r="D46" s="38">
        <v>5.014964</v>
      </c>
      <c r="E46" s="38">
        <v>4.9952019999999999</v>
      </c>
      <c r="F46" s="38">
        <v>5.0408200000000001</v>
      </c>
      <c r="G46" s="38">
        <v>5.1645269999999996</v>
      </c>
      <c r="H46" s="38">
        <v>5.1803900000000001</v>
      </c>
      <c r="I46" s="38">
        <v>5.0915879999999998</v>
      </c>
      <c r="J46" s="38">
        <v>5.0130850000000002</v>
      </c>
      <c r="K46" s="38">
        <v>4.9319740000000003</v>
      </c>
      <c r="L46" s="38">
        <v>4.8588889999999996</v>
      </c>
      <c r="M46" s="38">
        <v>4.7576869999999998</v>
      </c>
      <c r="N46" s="38">
        <v>4.6415030000000002</v>
      </c>
      <c r="O46" s="38">
        <v>4.5065939999999998</v>
      </c>
      <c r="P46" s="38">
        <v>4.342066</v>
      </c>
      <c r="Q46" s="38">
        <v>4.1206329999999998</v>
      </c>
      <c r="R46" s="38">
        <v>3.8612169999999999</v>
      </c>
      <c r="S46" s="38">
        <v>3.5776439999999998</v>
      </c>
      <c r="T46" s="38">
        <v>3.2731300000000001</v>
      </c>
      <c r="U46" s="38">
        <v>2.9439350000000002</v>
      </c>
      <c r="V46" s="38">
        <v>2.6057920000000001</v>
      </c>
      <c r="W46" s="38">
        <v>2.266159</v>
      </c>
    </row>
    <row r="47" spans="2:23" x14ac:dyDescent="0.25">
      <c r="B47" s="33" t="s">
        <v>7</v>
      </c>
      <c r="C47" s="38">
        <v>0</v>
      </c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8">
        <v>0</v>
      </c>
    </row>
    <row r="48" spans="2:23" x14ac:dyDescent="0.25">
      <c r="B48" s="33" t="s">
        <v>8</v>
      </c>
      <c r="C48" s="38">
        <v>30.346233000000002</v>
      </c>
      <c r="D48" s="38">
        <v>28.139778</v>
      </c>
      <c r="E48" s="38">
        <v>25.767166</v>
      </c>
      <c r="F48" s="38">
        <v>23.317326000000001</v>
      </c>
      <c r="G48" s="38">
        <v>20.716388999999999</v>
      </c>
      <c r="H48" s="38">
        <v>18.103707</v>
      </c>
      <c r="I48" s="38">
        <v>15.546784000000001</v>
      </c>
      <c r="J48" s="38">
        <v>13.099143</v>
      </c>
      <c r="K48" s="38">
        <v>10.799792</v>
      </c>
      <c r="L48" s="38">
        <v>8.6077750000000002</v>
      </c>
      <c r="M48" s="38">
        <v>6.626932</v>
      </c>
      <c r="N48" s="38">
        <v>4.7804180000000001</v>
      </c>
      <c r="O48" s="38">
        <v>3.0965229999999999</v>
      </c>
      <c r="P48" s="38">
        <v>1.6153200000000001</v>
      </c>
      <c r="Q48" s="38">
        <v>1.045749</v>
      </c>
      <c r="R48" s="38">
        <v>0.57026100000000002</v>
      </c>
      <c r="S48" s="38">
        <v>0.27161200000000002</v>
      </c>
      <c r="T48" s="38">
        <v>8.2777000000000003E-2</v>
      </c>
      <c r="U48" s="38">
        <v>0</v>
      </c>
      <c r="V48" s="38">
        <v>0</v>
      </c>
      <c r="W48" s="38">
        <v>0</v>
      </c>
    </row>
    <row r="49" spans="1:23" x14ac:dyDescent="0.25">
      <c r="A49" s="20"/>
      <c r="B49" s="33" t="s">
        <v>9</v>
      </c>
      <c r="C49" s="38">
        <v>19.453173</v>
      </c>
      <c r="D49" s="38">
        <v>20.528379000000001</v>
      </c>
      <c r="E49" s="38">
        <v>21.634239999999998</v>
      </c>
      <c r="F49" s="38">
        <v>22.519394999999999</v>
      </c>
      <c r="G49" s="38">
        <v>23.250976999999999</v>
      </c>
      <c r="H49" s="38">
        <v>23.786297000000001</v>
      </c>
      <c r="I49" s="38">
        <v>24.215336000000001</v>
      </c>
      <c r="J49" s="38">
        <v>24.579719999999998</v>
      </c>
      <c r="K49" s="38">
        <v>24.591391000000002</v>
      </c>
      <c r="L49" s="38">
        <v>24.474003</v>
      </c>
      <c r="M49" s="38">
        <v>23.981477000000002</v>
      </c>
      <c r="N49" s="38">
        <v>23.423995000000001</v>
      </c>
      <c r="O49" s="38">
        <v>22.787648999999998</v>
      </c>
      <c r="P49" s="38">
        <v>22.011403999999999</v>
      </c>
      <c r="Q49" s="38">
        <v>20.94032</v>
      </c>
      <c r="R49" s="38">
        <v>19.678407</v>
      </c>
      <c r="S49" s="38">
        <v>18.296006999999999</v>
      </c>
      <c r="T49" s="38">
        <v>16.832861000000001</v>
      </c>
      <c r="U49" s="38">
        <v>15.298734</v>
      </c>
      <c r="V49" s="38">
        <v>13.819312</v>
      </c>
      <c r="W49" s="38">
        <v>12.422298</v>
      </c>
    </row>
    <row r="50" spans="1:23" x14ac:dyDescent="0.25">
      <c r="A50" s="20"/>
      <c r="B50" s="33" t="s">
        <v>10</v>
      </c>
      <c r="C50" s="38">
        <v>15.537082</v>
      </c>
      <c r="D50" s="38">
        <v>17.163685999999998</v>
      </c>
      <c r="E50" s="38">
        <v>19.163436999999998</v>
      </c>
      <c r="F50" s="38">
        <v>21.099656</v>
      </c>
      <c r="G50" s="38">
        <v>23.196007999999999</v>
      </c>
      <c r="H50" s="38">
        <v>25.264303000000002</v>
      </c>
      <c r="I50" s="38">
        <v>27.564374999999998</v>
      </c>
      <c r="J50" s="38">
        <v>29.634568999999999</v>
      </c>
      <c r="K50" s="38">
        <v>31.771018000000002</v>
      </c>
      <c r="L50" s="38">
        <v>33.810200999999999</v>
      </c>
      <c r="M50" s="38">
        <v>36.024172</v>
      </c>
      <c r="N50" s="38">
        <v>38.116154999999999</v>
      </c>
      <c r="O50" s="38">
        <v>40.116197999999997</v>
      </c>
      <c r="P50" s="38">
        <v>42.076174000000002</v>
      </c>
      <c r="Q50" s="38">
        <v>43.675486999999997</v>
      </c>
      <c r="R50" s="38">
        <v>45.364218000000001</v>
      </c>
      <c r="S50" s="38">
        <v>46.952212000000003</v>
      </c>
      <c r="T50" s="38">
        <v>48.480156999999998</v>
      </c>
      <c r="U50" s="38">
        <v>50.160207999999997</v>
      </c>
      <c r="V50" s="38">
        <v>51.684275</v>
      </c>
      <c r="W50" s="38">
        <v>53.116374</v>
      </c>
    </row>
    <row r="51" spans="1:23" x14ac:dyDescent="0.25">
      <c r="A51" s="20"/>
      <c r="B51" s="33" t="s">
        <v>11</v>
      </c>
      <c r="C51" s="38">
        <v>15.067731999999999</v>
      </c>
      <c r="D51" s="38">
        <v>14.844474999999999</v>
      </c>
      <c r="E51" s="38">
        <v>14.705024</v>
      </c>
      <c r="F51" s="38">
        <v>14.586314</v>
      </c>
      <c r="G51" s="38">
        <v>14.477114</v>
      </c>
      <c r="H51" s="38">
        <v>14.444108</v>
      </c>
      <c r="I51" s="38">
        <v>14.491562</v>
      </c>
      <c r="J51" s="38">
        <v>14.582084</v>
      </c>
      <c r="K51" s="38">
        <v>14.760047</v>
      </c>
      <c r="L51" s="38">
        <v>14.98579</v>
      </c>
      <c r="M51" s="38">
        <v>15.232215999999999</v>
      </c>
      <c r="N51" s="38">
        <v>15.46763</v>
      </c>
      <c r="O51" s="38">
        <v>15.701515000000001</v>
      </c>
      <c r="P51" s="38">
        <v>15.936204</v>
      </c>
      <c r="Q51" s="38">
        <v>16.078056</v>
      </c>
      <c r="R51" s="38">
        <v>16.258378</v>
      </c>
      <c r="S51" s="38">
        <v>16.433641999999999</v>
      </c>
      <c r="T51" s="38">
        <v>16.624199999999998</v>
      </c>
      <c r="U51" s="38">
        <v>16.697095999999998</v>
      </c>
      <c r="V51" s="38">
        <v>16.768342000000001</v>
      </c>
      <c r="W51" s="38">
        <v>16.857996</v>
      </c>
    </row>
    <row r="52" spans="1:23" x14ac:dyDescent="0.25">
      <c r="A52" s="20"/>
      <c r="B52" s="33" t="s">
        <v>12</v>
      </c>
      <c r="C52" s="38">
        <v>4.2034989999999999</v>
      </c>
      <c r="D52" s="38">
        <v>4.37399</v>
      </c>
      <c r="E52" s="38">
        <v>4.5523559999999996</v>
      </c>
      <c r="F52" s="38">
        <v>4.7306119999999998</v>
      </c>
      <c r="G52" s="38">
        <v>4.8905139999999996</v>
      </c>
      <c r="H52" s="38">
        <v>5.045426</v>
      </c>
      <c r="I52" s="38">
        <v>5.1778420000000001</v>
      </c>
      <c r="J52" s="38">
        <v>5.3258660000000004</v>
      </c>
      <c r="K52" s="38">
        <v>5.4629810000000001</v>
      </c>
      <c r="L52" s="38">
        <v>5.6035219999999999</v>
      </c>
      <c r="M52" s="38">
        <v>5.7200249999999997</v>
      </c>
      <c r="N52" s="38">
        <v>5.838463</v>
      </c>
      <c r="O52" s="38">
        <v>5.9647810000000003</v>
      </c>
      <c r="P52" s="38">
        <v>6.0811520000000003</v>
      </c>
      <c r="Q52" s="38">
        <v>6.1423110000000003</v>
      </c>
      <c r="R52" s="38">
        <v>6.1889830000000003</v>
      </c>
      <c r="S52" s="38">
        <v>6.2753959999999998</v>
      </c>
      <c r="T52" s="38">
        <v>6.3642589999999997</v>
      </c>
      <c r="U52" s="38">
        <v>6.4958679999999998</v>
      </c>
      <c r="V52" s="38">
        <v>6.6381119999999996</v>
      </c>
      <c r="W52" s="38">
        <v>6.7620459999999998</v>
      </c>
    </row>
    <row r="53" spans="1:23" x14ac:dyDescent="0.25">
      <c r="A53" s="20"/>
      <c r="B53" s="33" t="s">
        <v>13</v>
      </c>
      <c r="C53" s="38">
        <v>1.2641340000000001</v>
      </c>
      <c r="D53" s="38">
        <v>1.2410600000000001</v>
      </c>
      <c r="E53" s="38">
        <v>1.2242759999999999</v>
      </c>
      <c r="F53" s="38">
        <v>1.209268</v>
      </c>
      <c r="G53" s="38">
        <v>1.206388</v>
      </c>
      <c r="H53" s="38">
        <v>1.2219580000000001</v>
      </c>
      <c r="I53" s="38">
        <v>1.256866</v>
      </c>
      <c r="J53" s="38">
        <v>1.3113939999999999</v>
      </c>
      <c r="K53" s="38">
        <v>1.3893249999999999</v>
      </c>
      <c r="L53" s="38">
        <v>1.490253</v>
      </c>
      <c r="M53" s="38">
        <v>1.612274</v>
      </c>
      <c r="N53" s="38">
        <v>1.7447090000000001</v>
      </c>
      <c r="O53" s="38">
        <v>1.88948</v>
      </c>
      <c r="P53" s="38">
        <v>2.0468889999999997</v>
      </c>
      <c r="Q53" s="38">
        <v>2.2040770000000003</v>
      </c>
      <c r="R53" s="38">
        <v>2.378231</v>
      </c>
      <c r="S53" s="38">
        <v>2.568997</v>
      </c>
      <c r="T53" s="38">
        <v>2.7783700000000002</v>
      </c>
      <c r="U53" s="38">
        <v>2.8785449999999999</v>
      </c>
      <c r="V53" s="38">
        <v>2.9852259999999999</v>
      </c>
      <c r="W53" s="38">
        <v>3.0996259999999998</v>
      </c>
    </row>
    <row r="54" spans="1:23" x14ac:dyDescent="0.25">
      <c r="A54" s="20"/>
      <c r="B54" s="33" t="s">
        <v>14</v>
      </c>
      <c r="C54" s="38">
        <v>0.93734300000000004</v>
      </c>
      <c r="D54" s="38">
        <v>0.89851000000000003</v>
      </c>
      <c r="E54" s="38">
        <v>0.92090899999999998</v>
      </c>
      <c r="F54" s="38">
        <v>0.98621000000000003</v>
      </c>
      <c r="G54" s="38">
        <v>0.97633499999999995</v>
      </c>
      <c r="H54" s="38">
        <v>1.032834</v>
      </c>
      <c r="I54" s="38">
        <v>0.99000200000000005</v>
      </c>
      <c r="J54" s="38">
        <v>1.034303</v>
      </c>
      <c r="K54" s="38">
        <v>1.0041150000000001</v>
      </c>
      <c r="L54" s="38">
        <v>0.95358600000000004</v>
      </c>
      <c r="M54" s="38">
        <v>0.88784799999999997</v>
      </c>
      <c r="N54" s="38">
        <v>0.82582199999999994</v>
      </c>
      <c r="O54" s="38">
        <v>0.76662200000000003</v>
      </c>
      <c r="P54" s="38">
        <v>0.71246299999999996</v>
      </c>
      <c r="Q54" s="38">
        <v>0.66148200000000001</v>
      </c>
      <c r="R54" s="38">
        <v>0.61740799999999996</v>
      </c>
      <c r="S54" s="38">
        <v>0.57181000000000004</v>
      </c>
      <c r="T54" s="38">
        <v>0.52950699999999995</v>
      </c>
      <c r="U54" s="38">
        <v>0.50890100000000005</v>
      </c>
      <c r="V54" s="38">
        <v>0.48708699999999999</v>
      </c>
      <c r="W54" s="38">
        <v>0.46895199999999998</v>
      </c>
    </row>
    <row r="55" spans="1:23" x14ac:dyDescent="0.25">
      <c r="A55" s="20"/>
      <c r="B55" s="34" t="s">
        <v>15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</row>
    <row r="56" spans="1:23" x14ac:dyDescent="0.25">
      <c r="A56" s="20"/>
      <c r="B56" s="37" t="s">
        <v>16</v>
      </c>
      <c r="C56" s="38">
        <v>2.2454610000000002</v>
      </c>
      <c r="D56" s="38">
        <v>2.252129</v>
      </c>
      <c r="E56" s="38">
        <v>2.2557520000000002</v>
      </c>
      <c r="F56" s="38">
        <v>2.2641019999999998</v>
      </c>
      <c r="G56" s="38">
        <v>2.2597640000000001</v>
      </c>
      <c r="H56" s="38">
        <v>2.2537790000000002</v>
      </c>
      <c r="I56" s="38">
        <v>2.2432629999999998</v>
      </c>
      <c r="J56" s="38">
        <v>2.241444</v>
      </c>
      <c r="K56" s="38">
        <v>2.2394880000000001</v>
      </c>
      <c r="L56" s="38">
        <v>2.2433670000000001</v>
      </c>
      <c r="M56" s="38">
        <v>2.2390469999999998</v>
      </c>
      <c r="N56" s="38">
        <v>2.2363029999999999</v>
      </c>
      <c r="O56" s="38">
        <v>2.236049</v>
      </c>
      <c r="P56" s="38">
        <v>2.2351239999999999</v>
      </c>
      <c r="Q56" s="38">
        <v>2.2098800000000001</v>
      </c>
      <c r="R56" s="38">
        <v>2.1838709999999999</v>
      </c>
      <c r="S56" s="38">
        <v>2.1665239999999999</v>
      </c>
      <c r="T56" s="38">
        <v>2.1547390000000002</v>
      </c>
      <c r="U56" s="38">
        <v>2.1433970000000002</v>
      </c>
      <c r="V56" s="38">
        <v>2.1379990000000002</v>
      </c>
      <c r="W56" s="38">
        <v>2.132393</v>
      </c>
    </row>
    <row r="57" spans="1:23" x14ac:dyDescent="0.25">
      <c r="A57" s="20"/>
      <c r="B57" s="37" t="s">
        <v>17</v>
      </c>
      <c r="C57" s="38">
        <v>2.04643</v>
      </c>
      <c r="D57" s="38">
        <v>2.0528970000000002</v>
      </c>
      <c r="E57" s="38">
        <v>2.0565769999999999</v>
      </c>
      <c r="F57" s="38">
        <v>2.0646170000000001</v>
      </c>
      <c r="G57" s="38">
        <v>2.0611989999999998</v>
      </c>
      <c r="H57" s="38">
        <v>2.0563449999999999</v>
      </c>
      <c r="I57" s="38">
        <v>2.0473539999999999</v>
      </c>
      <c r="J57" s="38">
        <v>2.0462579999999999</v>
      </c>
      <c r="K57" s="38">
        <v>2.0450110000000001</v>
      </c>
      <c r="L57" s="38">
        <v>2.049067</v>
      </c>
      <c r="M57" s="38">
        <v>2.045617</v>
      </c>
      <c r="N57" s="38">
        <v>2.0435750000000001</v>
      </c>
      <c r="O57" s="38">
        <v>2.0437970000000001</v>
      </c>
      <c r="P57" s="38">
        <v>2.0434299999999999</v>
      </c>
      <c r="Q57" s="38">
        <v>2.0212530000000002</v>
      </c>
      <c r="R57" s="38">
        <v>1.9982869999999999</v>
      </c>
      <c r="S57" s="38">
        <v>1.983104</v>
      </c>
      <c r="T57" s="38">
        <v>1.9729479999999999</v>
      </c>
      <c r="U57" s="38">
        <v>1.9629920000000001</v>
      </c>
      <c r="V57" s="38">
        <v>1.9583969999999999</v>
      </c>
      <c r="W57" s="38">
        <v>1.9536370000000001</v>
      </c>
    </row>
    <row r="58" spans="1:23" x14ac:dyDescent="0.25">
      <c r="A58" s="20"/>
      <c r="B58" s="37" t="s">
        <v>18</v>
      </c>
      <c r="C58" s="38">
        <v>0.45788499999999999</v>
      </c>
      <c r="D58" s="38">
        <v>0.46820600000000001</v>
      </c>
      <c r="E58" s="38">
        <v>0.47748699999999999</v>
      </c>
      <c r="F58" s="38">
        <v>0.48740099999999997</v>
      </c>
      <c r="G58" s="38">
        <v>0.494668</v>
      </c>
      <c r="H58" s="38">
        <v>0.50138000000000005</v>
      </c>
      <c r="I58" s="38">
        <v>0.50710599999999995</v>
      </c>
      <c r="J58" s="38">
        <v>0.51435500000000001</v>
      </c>
      <c r="K58" s="38">
        <v>0.52127100000000004</v>
      </c>
      <c r="L58" s="38">
        <v>0.52931700000000004</v>
      </c>
      <c r="M58" s="38">
        <v>0.53515199999999996</v>
      </c>
      <c r="N58" s="38">
        <v>0.54100599999999999</v>
      </c>
      <c r="O58" s="38">
        <v>0.54723999999999995</v>
      </c>
      <c r="P58" s="38">
        <v>0.55322300000000002</v>
      </c>
      <c r="Q58" s="38">
        <v>0.55425000000000002</v>
      </c>
      <c r="R58" s="38">
        <v>0.55464999999999998</v>
      </c>
      <c r="S58" s="38">
        <v>0.556423</v>
      </c>
      <c r="T58" s="38">
        <v>0.55921799999999999</v>
      </c>
      <c r="U58" s="38">
        <v>0.56159300000000001</v>
      </c>
      <c r="V58" s="38">
        <v>0.56512300000000004</v>
      </c>
      <c r="W58" s="38">
        <v>0.56859899999999997</v>
      </c>
    </row>
    <row r="59" spans="1:23" x14ac:dyDescent="0.25">
      <c r="A59" s="20"/>
      <c r="B59" s="37" t="s">
        <v>19</v>
      </c>
      <c r="C59" s="38">
        <v>0.29871199999999998</v>
      </c>
      <c r="D59" s="38">
        <v>0.30406899999999998</v>
      </c>
      <c r="E59" s="38">
        <v>0.30879099999999998</v>
      </c>
      <c r="F59" s="38">
        <v>0.31397700000000001</v>
      </c>
      <c r="G59" s="38">
        <v>0.317521</v>
      </c>
      <c r="H59" s="38">
        <v>0.32076500000000002</v>
      </c>
      <c r="I59" s="38">
        <v>0.323411</v>
      </c>
      <c r="J59" s="38">
        <v>0.32705699999999999</v>
      </c>
      <c r="K59" s="38">
        <v>0.33051799999999998</v>
      </c>
      <c r="L59" s="38">
        <v>0.33471699999999999</v>
      </c>
      <c r="M59" s="38">
        <v>0.33755200000000002</v>
      </c>
      <c r="N59" s="38">
        <v>0.34042</v>
      </c>
      <c r="O59" s="38">
        <v>0.343551</v>
      </c>
      <c r="P59" s="38">
        <v>0.34655000000000002</v>
      </c>
      <c r="Q59" s="38">
        <v>0.34650199999999998</v>
      </c>
      <c r="R59" s="38">
        <v>0.34609000000000001</v>
      </c>
      <c r="S59" s="38">
        <v>0.34662900000000002</v>
      </c>
      <c r="T59" s="38">
        <v>0.34783399999999998</v>
      </c>
      <c r="U59" s="38">
        <v>0.34873199999999999</v>
      </c>
      <c r="V59" s="38">
        <v>0.35033399999999998</v>
      </c>
      <c r="W59" s="38">
        <v>0.35191899999999998</v>
      </c>
    </row>
    <row r="60" spans="1:23" x14ac:dyDescent="0.25">
      <c r="A60" s="20"/>
      <c r="B60" s="20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20"/>
      <c r="Q60" s="20"/>
      <c r="R60" s="20"/>
      <c r="S60" s="20"/>
      <c r="T60" s="20"/>
      <c r="U60" s="20"/>
      <c r="V60" s="20"/>
      <c r="W60" s="20"/>
    </row>
    <row r="61" spans="1:23" x14ac:dyDescent="0.25">
      <c r="A61" s="21" t="s">
        <v>26</v>
      </c>
      <c r="B61" s="20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20"/>
      <c r="Q61" s="20"/>
      <c r="R61" s="20"/>
      <c r="S61" s="20"/>
      <c r="T61" s="20"/>
      <c r="U61" s="20"/>
      <c r="V61" s="20"/>
      <c r="W61" s="20"/>
    </row>
    <row r="62" spans="1:23" x14ac:dyDescent="0.25">
      <c r="A62" s="20"/>
      <c r="B62" s="20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20"/>
      <c r="Q62" s="20"/>
      <c r="R62" s="20"/>
      <c r="S62" s="20"/>
      <c r="T62" s="20"/>
      <c r="U62" s="20"/>
      <c r="V62" s="20"/>
      <c r="W62" s="20"/>
    </row>
    <row r="63" spans="1:23" x14ac:dyDescent="0.25">
      <c r="A63" s="20"/>
      <c r="B63" s="20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20"/>
      <c r="Q63" s="20"/>
      <c r="R63" s="20"/>
      <c r="S63" s="20"/>
      <c r="T63" s="20"/>
      <c r="U63" s="20"/>
      <c r="V63" s="20"/>
      <c r="W63" s="20"/>
    </row>
    <row r="64" spans="1:23" x14ac:dyDescent="0.25">
      <c r="A64" s="20"/>
      <c r="B64" s="20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20"/>
      <c r="Q64" s="20"/>
      <c r="R64" s="20"/>
      <c r="S64" s="20"/>
      <c r="T64" s="20"/>
      <c r="U64" s="20"/>
      <c r="V64" s="20"/>
      <c r="W64" s="20"/>
    </row>
    <row r="65" spans="3:15" x14ac:dyDescent="0.25"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</row>
    <row r="66" spans="3:15" x14ac:dyDescent="0.25"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</row>
    <row r="67" spans="3:15" x14ac:dyDescent="0.25"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 spans="3:15" x14ac:dyDescent="0.25"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 spans="3:15" x14ac:dyDescent="0.25"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 spans="3:15" x14ac:dyDescent="0.25"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</row>
    <row r="71" spans="3:15" x14ac:dyDescent="0.25"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</row>
    <row r="72" spans="3:15" x14ac:dyDescent="0.25"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</row>
    <row r="73" spans="3:15" x14ac:dyDescent="0.25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</row>
    <row r="74" spans="3:15" x14ac:dyDescent="0.25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57"/>
  <sheetViews>
    <sheetView topLeftCell="A7" zoomScale="85" zoomScaleNormal="85" workbookViewId="0">
      <selection activeCell="D24" sqref="D24"/>
    </sheetView>
  </sheetViews>
  <sheetFormatPr defaultRowHeight="15" x14ac:dyDescent="0.25"/>
  <cols>
    <col min="1" max="1" width="3" customWidth="1"/>
    <col min="2" max="2" width="43.5703125" style="1" customWidth="1"/>
    <col min="3" max="15" width="10.42578125" customWidth="1"/>
    <col min="16" max="17" width="10.28515625" customWidth="1"/>
    <col min="18" max="19" width="9.5703125" customWidth="1"/>
    <col min="20" max="20" width="10.42578125" customWidth="1"/>
  </cols>
  <sheetData>
    <row r="1" spans="1:23" ht="45.2" customHeight="1" x14ac:dyDescent="0.25"/>
    <row r="2" spans="1:23" ht="34.5" customHeight="1" x14ac:dyDescent="0.25">
      <c r="B2"/>
    </row>
    <row r="5" spans="1:23" ht="13.5" customHeight="1" x14ac:dyDescent="0.25">
      <c r="A5" s="2" t="s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23" ht="13.5" customHeight="1" x14ac:dyDescent="0.25">
      <c r="A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3" ht="16.5" customHeight="1" x14ac:dyDescent="0.25">
      <c r="A7" s="4" t="s">
        <v>1</v>
      </c>
      <c r="C7" s="3"/>
      <c r="D7" s="3"/>
      <c r="E7" s="3"/>
    </row>
    <row r="8" spans="1:23" s="5" customFormat="1" ht="13.5" customHeight="1" x14ac:dyDescent="0.25">
      <c r="A8" s="4" t="s">
        <v>27</v>
      </c>
      <c r="B8" s="1"/>
    </row>
    <row r="9" spans="1:23" ht="13.5" customHeight="1" x14ac:dyDescent="0.25">
      <c r="C9" s="6"/>
      <c r="D9" s="6"/>
    </row>
    <row r="10" spans="1:23" ht="13.5" customHeight="1" x14ac:dyDescent="0.25"/>
    <row r="11" spans="1:23" ht="13.5" customHeight="1" thickBot="1" x14ac:dyDescent="0.3">
      <c r="C11" s="7">
        <v>2000</v>
      </c>
      <c r="D11" s="7">
        <v>2001</v>
      </c>
      <c r="E11" s="7">
        <v>2002</v>
      </c>
      <c r="F11" s="7">
        <v>2003</v>
      </c>
      <c r="G11" s="7">
        <v>2004</v>
      </c>
      <c r="H11" s="7">
        <v>2005</v>
      </c>
      <c r="I11" s="7">
        <v>2006</v>
      </c>
      <c r="J11" s="7">
        <v>2007</v>
      </c>
      <c r="K11" s="7">
        <v>2008</v>
      </c>
      <c r="L11" s="7">
        <v>2009</v>
      </c>
      <c r="M11" s="7">
        <v>2010</v>
      </c>
      <c r="N11" s="7">
        <v>2011</v>
      </c>
      <c r="O11" s="7">
        <v>2012</v>
      </c>
      <c r="P11" s="7">
        <v>2013</v>
      </c>
      <c r="Q11" s="7">
        <v>2014</v>
      </c>
      <c r="R11" s="7">
        <v>2015</v>
      </c>
      <c r="S11" s="7">
        <v>2016</v>
      </c>
      <c r="T11" s="7">
        <v>2017</v>
      </c>
      <c r="U11" s="7">
        <v>2018</v>
      </c>
      <c r="V11" s="7">
        <v>2019</v>
      </c>
      <c r="W11" s="7">
        <v>2020</v>
      </c>
    </row>
    <row r="12" spans="1:23" ht="13.5" customHeight="1" x14ac:dyDescent="0.25"/>
    <row r="13" spans="1:23" ht="13.5" customHeight="1" x14ac:dyDescent="0.25">
      <c r="B13" s="19" t="s">
        <v>28</v>
      </c>
    </row>
    <row r="14" spans="1:23" ht="13.5" customHeight="1" x14ac:dyDescent="0.25">
      <c r="B14" s="14" t="s">
        <v>5</v>
      </c>
      <c r="C14">
        <v>60</v>
      </c>
      <c r="D14">
        <v>60</v>
      </c>
      <c r="E14">
        <v>60</v>
      </c>
      <c r="F14">
        <v>60</v>
      </c>
      <c r="G14">
        <v>60</v>
      </c>
      <c r="H14">
        <v>60</v>
      </c>
      <c r="I14">
        <v>60</v>
      </c>
      <c r="J14">
        <v>60</v>
      </c>
      <c r="K14">
        <v>60</v>
      </c>
      <c r="L14">
        <v>60</v>
      </c>
      <c r="M14">
        <v>60</v>
      </c>
      <c r="N14">
        <v>60</v>
      </c>
      <c r="O14">
        <v>60</v>
      </c>
      <c r="P14">
        <v>60</v>
      </c>
      <c r="Q14">
        <v>60</v>
      </c>
      <c r="R14">
        <v>60</v>
      </c>
      <c r="S14">
        <v>60</v>
      </c>
      <c r="T14">
        <v>60</v>
      </c>
      <c r="U14">
        <v>60</v>
      </c>
      <c r="V14">
        <v>60</v>
      </c>
      <c r="W14">
        <v>60</v>
      </c>
    </row>
    <row r="15" spans="1:23" ht="13.5" customHeight="1" x14ac:dyDescent="0.25">
      <c r="B15" s="14" t="s">
        <v>6</v>
      </c>
      <c r="C15">
        <v>78</v>
      </c>
      <c r="D15">
        <v>78</v>
      </c>
      <c r="E15">
        <v>78</v>
      </c>
      <c r="F15">
        <v>78</v>
      </c>
      <c r="G15">
        <v>78</v>
      </c>
      <c r="H15">
        <v>78</v>
      </c>
      <c r="I15">
        <v>78</v>
      </c>
      <c r="J15">
        <v>78</v>
      </c>
      <c r="K15">
        <v>78</v>
      </c>
      <c r="L15">
        <v>78</v>
      </c>
      <c r="M15">
        <v>78</v>
      </c>
      <c r="N15">
        <v>78</v>
      </c>
      <c r="O15">
        <v>78</v>
      </c>
      <c r="P15">
        <v>78</v>
      </c>
      <c r="Q15">
        <v>78</v>
      </c>
      <c r="R15">
        <v>78</v>
      </c>
      <c r="S15">
        <v>78</v>
      </c>
      <c r="T15">
        <v>78</v>
      </c>
      <c r="U15">
        <v>78</v>
      </c>
      <c r="V15">
        <v>78</v>
      </c>
      <c r="W15">
        <v>78</v>
      </c>
    </row>
    <row r="16" spans="1:23" ht="13.5" customHeight="1" x14ac:dyDescent="0.25">
      <c r="B16" s="14" t="s">
        <v>7</v>
      </c>
      <c r="C16">
        <v>85</v>
      </c>
      <c r="D16">
        <v>85</v>
      </c>
      <c r="E16">
        <v>85</v>
      </c>
      <c r="F16">
        <v>85</v>
      </c>
      <c r="G16">
        <v>85</v>
      </c>
      <c r="H16">
        <v>85</v>
      </c>
      <c r="I16">
        <v>85</v>
      </c>
      <c r="J16">
        <v>85</v>
      </c>
      <c r="K16">
        <v>85</v>
      </c>
      <c r="L16">
        <v>85</v>
      </c>
      <c r="M16">
        <v>85</v>
      </c>
      <c r="N16">
        <v>85</v>
      </c>
      <c r="O16">
        <v>85</v>
      </c>
      <c r="P16">
        <v>85</v>
      </c>
      <c r="Q16">
        <v>85</v>
      </c>
      <c r="R16">
        <v>85</v>
      </c>
      <c r="S16">
        <v>85</v>
      </c>
      <c r="T16">
        <v>85</v>
      </c>
      <c r="U16">
        <v>85</v>
      </c>
      <c r="V16">
        <v>85</v>
      </c>
      <c r="W16">
        <v>85</v>
      </c>
    </row>
    <row r="17" spans="2:23" ht="13.5" customHeight="1" x14ac:dyDescent="0.25">
      <c r="B17" s="14" t="s">
        <v>8</v>
      </c>
      <c r="C17">
        <v>62</v>
      </c>
      <c r="D17">
        <v>62</v>
      </c>
      <c r="E17">
        <v>62</v>
      </c>
      <c r="F17">
        <v>62</v>
      </c>
      <c r="G17">
        <v>62</v>
      </c>
      <c r="H17">
        <v>62</v>
      </c>
      <c r="I17">
        <v>62</v>
      </c>
      <c r="J17">
        <v>62</v>
      </c>
      <c r="K17">
        <v>62</v>
      </c>
      <c r="L17">
        <v>62</v>
      </c>
      <c r="M17">
        <v>62</v>
      </c>
      <c r="N17">
        <v>62</v>
      </c>
      <c r="O17">
        <v>62</v>
      </c>
      <c r="P17">
        <v>62</v>
      </c>
      <c r="Q17">
        <v>62</v>
      </c>
      <c r="R17">
        <v>62</v>
      </c>
      <c r="S17">
        <v>62</v>
      </c>
      <c r="T17">
        <v>62</v>
      </c>
      <c r="U17">
        <v>62</v>
      </c>
      <c r="V17">
        <v>62</v>
      </c>
      <c r="W17">
        <v>62</v>
      </c>
    </row>
    <row r="18" spans="2:23" ht="13.5" customHeight="1" x14ac:dyDescent="0.25">
      <c r="B18" s="14" t="s">
        <v>9</v>
      </c>
      <c r="C18">
        <v>79</v>
      </c>
      <c r="D18">
        <v>80</v>
      </c>
      <c r="E18">
        <v>80</v>
      </c>
      <c r="F18">
        <v>80</v>
      </c>
      <c r="G18">
        <v>80</v>
      </c>
      <c r="H18">
        <v>80</v>
      </c>
      <c r="I18">
        <v>80</v>
      </c>
      <c r="J18">
        <v>80</v>
      </c>
      <c r="K18">
        <v>80</v>
      </c>
      <c r="L18">
        <v>80</v>
      </c>
      <c r="M18">
        <v>80</v>
      </c>
      <c r="N18">
        <v>80</v>
      </c>
      <c r="O18">
        <v>80</v>
      </c>
      <c r="P18">
        <v>80</v>
      </c>
      <c r="Q18">
        <v>80</v>
      </c>
      <c r="R18">
        <v>80</v>
      </c>
      <c r="S18">
        <v>80</v>
      </c>
      <c r="T18">
        <v>80</v>
      </c>
      <c r="U18">
        <v>80</v>
      </c>
      <c r="V18">
        <v>80</v>
      </c>
      <c r="W18">
        <v>80</v>
      </c>
    </row>
    <row r="19" spans="2:23" ht="13.5" customHeight="1" x14ac:dyDescent="0.25">
      <c r="B19" s="14" t="s">
        <v>10</v>
      </c>
      <c r="C19">
        <v>90</v>
      </c>
      <c r="D19">
        <v>90</v>
      </c>
      <c r="E19">
        <v>90</v>
      </c>
      <c r="F19">
        <v>90</v>
      </c>
      <c r="G19">
        <v>90</v>
      </c>
      <c r="H19">
        <v>90</v>
      </c>
      <c r="I19">
        <v>90</v>
      </c>
      <c r="J19">
        <v>90</v>
      </c>
      <c r="K19">
        <v>90</v>
      </c>
      <c r="L19">
        <v>90</v>
      </c>
      <c r="M19">
        <v>90</v>
      </c>
      <c r="N19">
        <v>90</v>
      </c>
      <c r="O19">
        <v>90</v>
      </c>
      <c r="P19">
        <v>90</v>
      </c>
      <c r="Q19">
        <v>90</v>
      </c>
      <c r="R19">
        <v>90</v>
      </c>
      <c r="S19">
        <v>90</v>
      </c>
      <c r="T19">
        <v>90</v>
      </c>
      <c r="U19">
        <v>90</v>
      </c>
      <c r="V19">
        <v>90</v>
      </c>
      <c r="W19">
        <v>90</v>
      </c>
    </row>
    <row r="20" spans="2:23" ht="13.5" customHeight="1" x14ac:dyDescent="0.25">
      <c r="B20" s="14" t="s">
        <v>11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2:23" ht="13.5" customHeight="1" x14ac:dyDescent="0.25">
      <c r="B21" s="14" t="s">
        <v>12</v>
      </c>
      <c r="C21">
        <v>190</v>
      </c>
      <c r="D21">
        <v>190</v>
      </c>
      <c r="E21">
        <v>190</v>
      </c>
      <c r="F21">
        <v>190</v>
      </c>
      <c r="G21">
        <v>190</v>
      </c>
      <c r="H21">
        <v>190</v>
      </c>
      <c r="I21">
        <v>190</v>
      </c>
      <c r="J21">
        <v>190</v>
      </c>
      <c r="K21">
        <v>190</v>
      </c>
      <c r="L21">
        <v>190</v>
      </c>
      <c r="M21">
        <v>190</v>
      </c>
      <c r="N21">
        <v>190</v>
      </c>
      <c r="O21">
        <v>190</v>
      </c>
      <c r="P21">
        <v>190</v>
      </c>
      <c r="Q21">
        <v>190</v>
      </c>
      <c r="R21">
        <v>190</v>
      </c>
      <c r="S21">
        <v>190</v>
      </c>
      <c r="T21">
        <v>190</v>
      </c>
      <c r="U21">
        <v>190</v>
      </c>
      <c r="V21">
        <v>190</v>
      </c>
      <c r="W21">
        <v>190</v>
      </c>
    </row>
    <row r="22" spans="2:23" ht="13.5" customHeight="1" x14ac:dyDescent="0.25">
      <c r="B22" s="14" t="s">
        <v>13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  <c r="I22">
        <v>50</v>
      </c>
      <c r="J22">
        <v>50</v>
      </c>
      <c r="K22">
        <v>50</v>
      </c>
      <c r="L22">
        <v>50</v>
      </c>
      <c r="M22">
        <v>50</v>
      </c>
      <c r="N22">
        <v>50</v>
      </c>
      <c r="O22">
        <v>50</v>
      </c>
      <c r="P22">
        <v>50</v>
      </c>
      <c r="Q22">
        <v>50</v>
      </c>
      <c r="R22">
        <v>50</v>
      </c>
      <c r="S22">
        <v>50</v>
      </c>
      <c r="T22">
        <v>50</v>
      </c>
      <c r="U22">
        <v>50</v>
      </c>
      <c r="V22">
        <v>50</v>
      </c>
      <c r="W22">
        <v>50</v>
      </c>
    </row>
    <row r="23" spans="2:23" ht="13.5" customHeight="1" x14ac:dyDescent="0.25">
      <c r="B23" s="14" t="s">
        <v>14</v>
      </c>
      <c r="C23">
        <v>50</v>
      </c>
      <c r="D23">
        <v>50</v>
      </c>
      <c r="E23">
        <v>50</v>
      </c>
      <c r="F23">
        <v>50</v>
      </c>
      <c r="G23">
        <v>50</v>
      </c>
      <c r="H23">
        <v>50</v>
      </c>
      <c r="I23">
        <v>50</v>
      </c>
      <c r="J23">
        <v>50</v>
      </c>
      <c r="K23">
        <v>50</v>
      </c>
      <c r="L23">
        <v>50</v>
      </c>
      <c r="M23">
        <v>50</v>
      </c>
      <c r="N23">
        <v>50</v>
      </c>
      <c r="O23">
        <v>50</v>
      </c>
      <c r="P23">
        <v>50</v>
      </c>
      <c r="Q23">
        <v>50</v>
      </c>
      <c r="R23">
        <v>50</v>
      </c>
      <c r="S23">
        <v>50</v>
      </c>
      <c r="T23">
        <v>50</v>
      </c>
      <c r="U23">
        <v>50</v>
      </c>
      <c r="V23">
        <v>50</v>
      </c>
      <c r="W23">
        <v>50</v>
      </c>
    </row>
    <row r="24" spans="2:23" ht="13.5" customHeight="1" x14ac:dyDescent="0.25">
      <c r="B24" s="15"/>
    </row>
    <row r="25" spans="2:23" ht="13.5" customHeight="1" x14ac:dyDescent="0.25">
      <c r="B25" s="9" t="s">
        <v>29</v>
      </c>
    </row>
    <row r="26" spans="2:23" ht="13.5" customHeight="1" x14ac:dyDescent="0.25">
      <c r="B26" s="14" t="s">
        <v>30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2:23" ht="13.5" customHeight="1" x14ac:dyDescent="0.25">
      <c r="B27" s="14" t="s">
        <v>14</v>
      </c>
      <c r="C27">
        <v>50</v>
      </c>
      <c r="D27">
        <v>50</v>
      </c>
      <c r="E27">
        <v>50</v>
      </c>
      <c r="F27">
        <v>50</v>
      </c>
      <c r="G27">
        <v>50</v>
      </c>
      <c r="H27">
        <v>50</v>
      </c>
      <c r="I27">
        <v>50</v>
      </c>
      <c r="J27">
        <v>50</v>
      </c>
      <c r="K27">
        <v>50</v>
      </c>
      <c r="L27">
        <v>50</v>
      </c>
      <c r="M27">
        <v>50</v>
      </c>
      <c r="N27">
        <v>50</v>
      </c>
      <c r="O27">
        <v>50</v>
      </c>
      <c r="P27">
        <v>50</v>
      </c>
      <c r="Q27">
        <v>50</v>
      </c>
      <c r="R27">
        <v>50</v>
      </c>
      <c r="S27">
        <v>50</v>
      </c>
      <c r="T27">
        <v>50</v>
      </c>
      <c r="U27">
        <v>50</v>
      </c>
      <c r="V27">
        <v>50</v>
      </c>
      <c r="W27">
        <v>50</v>
      </c>
    </row>
    <row r="28" spans="2:23" ht="13.5" customHeight="1" x14ac:dyDescent="0.25">
      <c r="B28" s="15"/>
    </row>
    <row r="29" spans="2:23" ht="13.5" customHeight="1" x14ac:dyDescent="0.25">
      <c r="B29" s="9" t="s">
        <v>31</v>
      </c>
    </row>
    <row r="30" spans="2:23" ht="13.5" customHeight="1" x14ac:dyDescent="0.25">
      <c r="B30" s="14" t="s">
        <v>32</v>
      </c>
      <c r="C30">
        <v>78</v>
      </c>
      <c r="D30">
        <v>78</v>
      </c>
      <c r="E30">
        <v>78</v>
      </c>
      <c r="F30">
        <v>78</v>
      </c>
      <c r="G30">
        <v>78</v>
      </c>
      <c r="H30">
        <v>78</v>
      </c>
      <c r="I30">
        <v>78</v>
      </c>
      <c r="J30">
        <v>78</v>
      </c>
      <c r="K30">
        <v>78</v>
      </c>
      <c r="L30">
        <v>78</v>
      </c>
      <c r="M30">
        <v>78</v>
      </c>
      <c r="N30">
        <v>78</v>
      </c>
      <c r="O30">
        <v>78</v>
      </c>
      <c r="P30">
        <v>78</v>
      </c>
      <c r="Q30">
        <v>78</v>
      </c>
      <c r="R30">
        <v>78</v>
      </c>
      <c r="S30">
        <v>78</v>
      </c>
      <c r="T30">
        <v>78</v>
      </c>
      <c r="U30">
        <v>78</v>
      </c>
      <c r="V30">
        <v>78</v>
      </c>
      <c r="W30">
        <v>78</v>
      </c>
    </row>
    <row r="31" spans="2:23" ht="13.5" customHeight="1" x14ac:dyDescent="0.25">
      <c r="B31" s="14" t="s">
        <v>14</v>
      </c>
      <c r="C31">
        <v>57</v>
      </c>
      <c r="D31">
        <v>57</v>
      </c>
      <c r="E31">
        <v>57</v>
      </c>
      <c r="F31">
        <v>57</v>
      </c>
      <c r="G31">
        <v>57</v>
      </c>
      <c r="H31">
        <v>57</v>
      </c>
      <c r="I31">
        <v>57</v>
      </c>
      <c r="J31">
        <v>57</v>
      </c>
      <c r="K31">
        <v>57</v>
      </c>
      <c r="L31">
        <v>57</v>
      </c>
      <c r="M31">
        <v>57</v>
      </c>
      <c r="N31">
        <v>57</v>
      </c>
      <c r="O31">
        <v>57</v>
      </c>
      <c r="P31">
        <v>57</v>
      </c>
      <c r="Q31">
        <v>57</v>
      </c>
      <c r="R31">
        <v>57</v>
      </c>
      <c r="S31">
        <v>57</v>
      </c>
      <c r="T31">
        <v>57</v>
      </c>
      <c r="U31">
        <v>57</v>
      </c>
      <c r="V31">
        <v>57</v>
      </c>
      <c r="W31">
        <v>57</v>
      </c>
    </row>
    <row r="32" spans="2:23" ht="13.5" customHeight="1" x14ac:dyDescent="0.25">
      <c r="B32" s="15"/>
    </row>
    <row r="33" spans="1:23" ht="13.5" customHeight="1" x14ac:dyDescent="0.25">
      <c r="B33" s="9" t="s">
        <v>33</v>
      </c>
    </row>
    <row r="34" spans="1:23" ht="13.5" customHeight="1" x14ac:dyDescent="0.25">
      <c r="B34" s="14" t="s">
        <v>30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ht="13.5" customHeight="1" x14ac:dyDescent="0.25">
      <c r="B35" s="14" t="s">
        <v>34</v>
      </c>
      <c r="C35">
        <v>79</v>
      </c>
      <c r="D35">
        <v>80</v>
      </c>
      <c r="E35">
        <v>80</v>
      </c>
      <c r="F35">
        <v>80</v>
      </c>
      <c r="G35">
        <v>80</v>
      </c>
      <c r="H35">
        <v>80</v>
      </c>
      <c r="I35">
        <v>80</v>
      </c>
      <c r="J35">
        <v>80</v>
      </c>
      <c r="K35">
        <v>80</v>
      </c>
      <c r="L35">
        <v>80</v>
      </c>
      <c r="M35">
        <v>80</v>
      </c>
      <c r="N35">
        <v>80</v>
      </c>
      <c r="O35">
        <v>80</v>
      </c>
      <c r="P35">
        <v>80</v>
      </c>
      <c r="Q35">
        <v>80</v>
      </c>
      <c r="R35">
        <v>80</v>
      </c>
      <c r="S35">
        <v>80</v>
      </c>
      <c r="T35">
        <v>80</v>
      </c>
      <c r="U35">
        <v>80</v>
      </c>
      <c r="V35">
        <v>80</v>
      </c>
      <c r="W35">
        <v>80</v>
      </c>
    </row>
    <row r="36" spans="1:23" ht="13.5" customHeight="1" x14ac:dyDescent="0.25">
      <c r="B36" s="15"/>
    </row>
    <row r="37" spans="1:23" ht="13.5" customHeight="1" x14ac:dyDescent="0.25">
      <c r="B37" s="9" t="s">
        <v>35</v>
      </c>
    </row>
    <row r="38" spans="1:23" ht="13.5" customHeight="1" x14ac:dyDescent="0.25">
      <c r="B38" s="14" t="s">
        <v>30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ht="13.5" customHeight="1" x14ac:dyDescent="0.25">
      <c r="B39" s="14" t="s">
        <v>32</v>
      </c>
      <c r="C39">
        <v>78</v>
      </c>
      <c r="D39">
        <v>78</v>
      </c>
      <c r="E39">
        <v>78</v>
      </c>
      <c r="F39">
        <v>78</v>
      </c>
      <c r="G39">
        <v>78</v>
      </c>
      <c r="H39">
        <v>78</v>
      </c>
      <c r="I39">
        <v>78</v>
      </c>
      <c r="J39">
        <v>78</v>
      </c>
      <c r="K39">
        <v>78</v>
      </c>
      <c r="L39">
        <v>78</v>
      </c>
      <c r="M39">
        <v>78</v>
      </c>
      <c r="N39">
        <v>78</v>
      </c>
      <c r="O39">
        <v>78</v>
      </c>
      <c r="P39">
        <v>78</v>
      </c>
      <c r="Q39">
        <v>78</v>
      </c>
      <c r="R39">
        <v>78</v>
      </c>
      <c r="S39">
        <v>78</v>
      </c>
      <c r="T39">
        <v>78</v>
      </c>
      <c r="U39">
        <v>78</v>
      </c>
      <c r="V39">
        <v>78</v>
      </c>
      <c r="W39">
        <v>78</v>
      </c>
    </row>
    <row r="40" spans="1:23" ht="13.5" customHeight="1" x14ac:dyDescent="0.25"/>
    <row r="41" spans="1:23" ht="13.5" customHeight="1" x14ac:dyDescent="0.25">
      <c r="A41" s="1" t="s">
        <v>26</v>
      </c>
      <c r="B41"/>
    </row>
    <row r="42" spans="1:23" ht="13.5" customHeight="1" x14ac:dyDescent="0.25"/>
    <row r="43" spans="1:23" ht="13.5" customHeight="1" x14ac:dyDescent="0.25"/>
    <row r="44" spans="1:23" ht="13.5" customHeight="1" x14ac:dyDescent="0.25"/>
    <row r="45" spans="1:23" ht="13.5" customHeight="1" x14ac:dyDescent="0.25"/>
    <row r="46" spans="1:23" ht="13.5" customHeight="1" x14ac:dyDescent="0.25"/>
    <row r="47" spans="1:23" ht="13.5" customHeight="1" x14ac:dyDescent="0.25"/>
    <row r="48" spans="1:23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W58"/>
  <sheetViews>
    <sheetView topLeftCell="A7" zoomScale="80" zoomScaleNormal="80" workbookViewId="0">
      <selection activeCell="W27" sqref="W27"/>
    </sheetView>
  </sheetViews>
  <sheetFormatPr defaultRowHeight="15" x14ac:dyDescent="0.25"/>
  <cols>
    <col min="1" max="1" width="3" customWidth="1"/>
    <col min="2" max="2" width="42.5703125" style="1" customWidth="1"/>
    <col min="3" max="15" width="10.42578125" customWidth="1"/>
    <col min="16" max="16" width="9.7109375" customWidth="1"/>
    <col min="17" max="17" width="10.28515625" customWidth="1"/>
    <col min="18" max="19" width="9.5703125" customWidth="1"/>
    <col min="20" max="20" width="11" customWidth="1"/>
    <col min="21" max="23" width="10.85546875" customWidth="1"/>
  </cols>
  <sheetData>
    <row r="1" spans="1:23" ht="45.2" customHeight="1" x14ac:dyDescent="0.25"/>
    <row r="2" spans="1:23" ht="34.5" customHeight="1" x14ac:dyDescent="0.25">
      <c r="B2"/>
    </row>
    <row r="5" spans="1:23" ht="13.5" customHeight="1" x14ac:dyDescent="0.25">
      <c r="A5" s="2" t="s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23" ht="13.5" customHeight="1" x14ac:dyDescent="0.25">
      <c r="A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3" ht="16.5" customHeight="1" x14ac:dyDescent="0.25">
      <c r="A7" s="4" t="s">
        <v>1</v>
      </c>
      <c r="C7" s="3"/>
      <c r="D7" s="3"/>
      <c r="E7" s="3"/>
    </row>
    <row r="8" spans="1:23" s="5" customFormat="1" ht="13.5" customHeight="1" x14ac:dyDescent="0.25">
      <c r="A8" s="4" t="s">
        <v>2</v>
      </c>
      <c r="B8" s="1"/>
    </row>
    <row r="9" spans="1:23" ht="13.5" customHeight="1" x14ac:dyDescent="0.25">
      <c r="C9" s="6"/>
      <c r="D9" s="6"/>
    </row>
    <row r="10" spans="1:23" ht="13.5" customHeight="1" x14ac:dyDescent="0.25"/>
    <row r="11" spans="1:23" ht="13.5" customHeight="1" thickBot="1" x14ac:dyDescent="0.3">
      <c r="C11" s="7">
        <v>2000</v>
      </c>
      <c r="D11" s="7">
        <v>2001</v>
      </c>
      <c r="E11" s="7">
        <v>2002</v>
      </c>
      <c r="F11" s="7">
        <v>2003</v>
      </c>
      <c r="G11" s="7">
        <v>2004</v>
      </c>
      <c r="H11" s="7">
        <v>2005</v>
      </c>
      <c r="I11" s="7">
        <v>2006</v>
      </c>
      <c r="J11" s="7">
        <v>2007</v>
      </c>
      <c r="K11" s="7">
        <v>2008</v>
      </c>
      <c r="L11" s="7">
        <v>2009</v>
      </c>
      <c r="M11" s="7">
        <v>2010</v>
      </c>
      <c r="N11" s="7">
        <v>2011</v>
      </c>
      <c r="O11" s="7">
        <v>2012</v>
      </c>
      <c r="P11" s="7">
        <v>2013</v>
      </c>
      <c r="Q11" s="7">
        <v>2014</v>
      </c>
      <c r="R11" s="7">
        <v>2015</v>
      </c>
      <c r="S11" s="7">
        <v>2016</v>
      </c>
      <c r="T11" s="7">
        <v>2017</v>
      </c>
      <c r="U11" s="7">
        <v>2018</v>
      </c>
      <c r="V11" s="7">
        <v>2019</v>
      </c>
      <c r="W11" s="7">
        <v>2020</v>
      </c>
    </row>
    <row r="12" spans="1:23" ht="13.5" customHeight="1" x14ac:dyDescent="0.25"/>
    <row r="13" spans="1:23" s="8" customFormat="1" ht="13.5" customHeight="1" x14ac:dyDescent="0.2">
      <c r="B13" s="9" t="s">
        <v>3</v>
      </c>
      <c r="C13" s="10">
        <v>344.741761</v>
      </c>
      <c r="D13" s="10">
        <v>316.39126700000003</v>
      </c>
      <c r="E13" s="10">
        <v>332.69485500000002</v>
      </c>
      <c r="F13" s="10">
        <v>365.83644800000002</v>
      </c>
      <c r="G13" s="10">
        <v>352.28205500000001</v>
      </c>
      <c r="H13" s="10">
        <v>359.02979199999999</v>
      </c>
      <c r="I13" s="10">
        <v>324.91722299999998</v>
      </c>
      <c r="J13" s="10">
        <v>367.27056299999998</v>
      </c>
      <c r="K13" s="10">
        <v>376.66455999999999</v>
      </c>
      <c r="L13" s="10">
        <v>358.11449399999998</v>
      </c>
      <c r="M13" s="10">
        <v>337.049556</v>
      </c>
      <c r="N13" s="10">
        <v>365.51364699999999</v>
      </c>
      <c r="O13" s="10">
        <v>322.333392</v>
      </c>
      <c r="P13" s="10">
        <v>374.39161999999999</v>
      </c>
      <c r="Q13" s="10">
        <v>386.505651</v>
      </c>
      <c r="R13" s="10">
        <v>379.52621399999998</v>
      </c>
      <c r="S13" s="10">
        <v>342.54087800000002</v>
      </c>
      <c r="T13" s="10">
        <v>358.303112</v>
      </c>
      <c r="U13" s="10">
        <v>401.799148</v>
      </c>
      <c r="V13" s="10">
        <v>353.12347899999997</v>
      </c>
      <c r="W13" s="10">
        <v>314.63171299999999</v>
      </c>
    </row>
    <row r="14" spans="1:23" ht="13.5" customHeight="1" x14ac:dyDescent="0.25">
      <c r="B14" s="11" t="s">
        <v>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3.5" customHeight="1" x14ac:dyDescent="0.25">
      <c r="B15" s="13" t="s">
        <v>5</v>
      </c>
      <c r="C15" s="12">
        <v>11.341737</v>
      </c>
      <c r="D15" s="12">
        <v>8.1383840000000003</v>
      </c>
      <c r="E15" s="12">
        <v>6.4705839999999997</v>
      </c>
      <c r="F15" s="12">
        <v>4.1069630000000004</v>
      </c>
      <c r="G15" s="12">
        <v>2.4192520000000002</v>
      </c>
      <c r="H15" s="12">
        <v>2.3267370000000001</v>
      </c>
      <c r="I15" s="12">
        <v>1.45747</v>
      </c>
      <c r="J15" s="12">
        <v>0.788887</v>
      </c>
      <c r="K15" s="12">
        <v>0.37119799999999997</v>
      </c>
      <c r="L15" s="12">
        <v>0.149759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</row>
    <row r="16" spans="1:23" ht="13.5" customHeight="1" x14ac:dyDescent="0.25">
      <c r="B16" s="13" t="s">
        <v>6</v>
      </c>
      <c r="C16" s="12">
        <v>13.647463</v>
      </c>
      <c r="D16" s="12">
        <v>13.740637</v>
      </c>
      <c r="E16" s="12">
        <v>16.618812999999999</v>
      </c>
      <c r="F16" s="12">
        <v>17.136997000000001</v>
      </c>
      <c r="G16" s="12">
        <v>16.808617999999999</v>
      </c>
      <c r="H16" s="12">
        <v>20.35566</v>
      </c>
      <c r="I16" s="12">
        <v>18.152396</v>
      </c>
      <c r="J16" s="12">
        <v>18.147202</v>
      </c>
      <c r="K16" s="12">
        <v>16.141672</v>
      </c>
      <c r="L16" s="12">
        <v>17.133406000000001</v>
      </c>
      <c r="M16" s="12">
        <v>16.897257</v>
      </c>
      <c r="N16" s="12">
        <v>13.920483000000001</v>
      </c>
      <c r="O16" s="12">
        <v>11.574112</v>
      </c>
      <c r="P16" s="12">
        <v>12.631125000000001</v>
      </c>
      <c r="Q16" s="12">
        <v>11.269382999999999</v>
      </c>
      <c r="R16" s="12">
        <v>10.163352</v>
      </c>
      <c r="S16" s="12">
        <v>7.3792910000000003</v>
      </c>
      <c r="T16" s="12">
        <v>6.2315849999999999</v>
      </c>
      <c r="U16" s="12">
        <v>5.9841480000000002</v>
      </c>
      <c r="V16" s="12">
        <v>4.8250799999999998</v>
      </c>
      <c r="W16" s="12">
        <v>3.7591169999999998</v>
      </c>
    </row>
    <row r="17" spans="2:23" ht="13.5" customHeight="1" x14ac:dyDescent="0.25">
      <c r="B17" s="13" t="s">
        <v>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</row>
    <row r="18" spans="2:23" ht="13.5" customHeight="1" x14ac:dyDescent="0.25">
      <c r="B18" s="13" t="s">
        <v>8</v>
      </c>
      <c r="C18" s="12">
        <v>130.33868000000001</v>
      </c>
      <c r="D18" s="12">
        <v>112.639473</v>
      </c>
      <c r="E18" s="12">
        <v>109.473038</v>
      </c>
      <c r="F18" s="12">
        <v>111.833449</v>
      </c>
      <c r="G18" s="12">
        <v>95.352283</v>
      </c>
      <c r="H18" s="12">
        <v>85.098146999999997</v>
      </c>
      <c r="I18" s="12">
        <v>66.013932999999994</v>
      </c>
      <c r="J18" s="12">
        <v>64.316604999999996</v>
      </c>
      <c r="K18" s="12">
        <v>54.721136000000001</v>
      </c>
      <c r="L18" s="12">
        <v>40.011629999999997</v>
      </c>
      <c r="M18" s="12">
        <v>28.302710000000001</v>
      </c>
      <c r="N18" s="12">
        <v>22.175936</v>
      </c>
      <c r="O18" s="12">
        <v>11.331372</v>
      </c>
      <c r="P18" s="12">
        <v>5.1472639999999998</v>
      </c>
      <c r="Q18" s="12">
        <v>3.3730859999999998</v>
      </c>
      <c r="R18" s="12">
        <v>1.686067</v>
      </c>
      <c r="S18" s="12">
        <v>0.67737700000000001</v>
      </c>
      <c r="T18" s="12">
        <v>0.21598000000000001</v>
      </c>
      <c r="U18" s="12">
        <v>0</v>
      </c>
      <c r="V18" s="12">
        <v>0</v>
      </c>
      <c r="W18" s="12">
        <v>0</v>
      </c>
    </row>
    <row r="19" spans="2:23" ht="13.5" customHeight="1" x14ac:dyDescent="0.25">
      <c r="B19" s="13" t="s">
        <v>9</v>
      </c>
      <c r="C19" s="12">
        <v>66.914292000000003</v>
      </c>
      <c r="D19" s="12">
        <v>65.158535000000001</v>
      </c>
      <c r="E19" s="12">
        <v>73.009282999999996</v>
      </c>
      <c r="F19" s="12">
        <v>86.010765000000006</v>
      </c>
      <c r="G19" s="12">
        <v>85.557012</v>
      </c>
      <c r="H19" s="12">
        <v>89.715896000000001</v>
      </c>
      <c r="I19" s="12">
        <v>83.012608</v>
      </c>
      <c r="J19" s="12">
        <v>98.280457999999996</v>
      </c>
      <c r="K19" s="12">
        <v>102.804143</v>
      </c>
      <c r="L19" s="12">
        <v>95.800914000000006</v>
      </c>
      <c r="M19" s="12">
        <v>88.815173000000001</v>
      </c>
      <c r="N19" s="12">
        <v>99.146345999999994</v>
      </c>
      <c r="O19" s="12">
        <v>84.535632000000007</v>
      </c>
      <c r="P19" s="12">
        <v>98.222938999999997</v>
      </c>
      <c r="Q19" s="12">
        <v>97.197176999999996</v>
      </c>
      <c r="R19" s="12">
        <v>91.682525999999996</v>
      </c>
      <c r="S19" s="12">
        <v>76.593063000000001</v>
      </c>
      <c r="T19" s="12">
        <v>74.318735000000004</v>
      </c>
      <c r="U19" s="12">
        <v>80.437909000000005</v>
      </c>
      <c r="V19" s="12">
        <v>61.964883999999998</v>
      </c>
      <c r="W19" s="12">
        <v>49.475327</v>
      </c>
    </row>
    <row r="20" spans="2:23" ht="13.5" customHeight="1" x14ac:dyDescent="0.25">
      <c r="B20" s="13" t="s">
        <v>10</v>
      </c>
      <c r="C20" s="12">
        <v>47.368910999999997</v>
      </c>
      <c r="D20" s="12">
        <v>48.888505000000002</v>
      </c>
      <c r="E20" s="12">
        <v>58.005085000000001</v>
      </c>
      <c r="F20" s="12">
        <v>72.286985000000001</v>
      </c>
      <c r="G20" s="12">
        <v>76.570859999999996</v>
      </c>
      <c r="H20" s="12">
        <v>85.380436000000003</v>
      </c>
      <c r="I20" s="12">
        <v>84.619744999999995</v>
      </c>
      <c r="J20" s="12">
        <v>106.10072</v>
      </c>
      <c r="K20" s="12">
        <v>118.858547</v>
      </c>
      <c r="L20" s="12">
        <v>118.348153</v>
      </c>
      <c r="M20" s="12">
        <v>119.097989</v>
      </c>
      <c r="N20" s="12">
        <v>143.64150900000001</v>
      </c>
      <c r="O20" s="12">
        <v>132.33971299999999</v>
      </c>
      <c r="P20" s="12">
        <v>166.59818200000001</v>
      </c>
      <c r="Q20" s="12">
        <v>179.514951</v>
      </c>
      <c r="R20" s="12">
        <v>186.13604599999999</v>
      </c>
      <c r="S20" s="12">
        <v>172.63335699999999</v>
      </c>
      <c r="T20" s="12">
        <v>187.51308900000001</v>
      </c>
      <c r="U20" s="12">
        <v>230.48239899999999</v>
      </c>
      <c r="V20" s="12">
        <v>202.576347</v>
      </c>
      <c r="W20" s="12">
        <v>184.52887699999999</v>
      </c>
    </row>
    <row r="21" spans="2:23" ht="13.5" customHeight="1" x14ac:dyDescent="0.25">
      <c r="B21" s="13" t="s">
        <v>11</v>
      </c>
      <c r="C21" s="12">
        <v>32.949770999999998</v>
      </c>
      <c r="D21" s="12">
        <v>30.452016</v>
      </c>
      <c r="E21" s="12">
        <v>30.571306</v>
      </c>
      <c r="F21" s="12">
        <v>34.218184999999998</v>
      </c>
      <c r="G21" s="12">
        <v>34.973827999999997</v>
      </c>
      <c r="H21" s="12">
        <v>32.228425000000001</v>
      </c>
      <c r="I21" s="12">
        <v>29.493555000000001</v>
      </c>
      <c r="J21" s="12">
        <v>32.282170999999998</v>
      </c>
      <c r="K21" s="12">
        <v>34.270336</v>
      </c>
      <c r="L21" s="12">
        <v>36.189478000000001</v>
      </c>
      <c r="M21" s="12">
        <v>34.68383</v>
      </c>
      <c r="N21" s="12">
        <v>35.018425999999998</v>
      </c>
      <c r="O21" s="12">
        <v>32.846316000000002</v>
      </c>
      <c r="P21" s="12">
        <v>38.698608999999998</v>
      </c>
      <c r="Q21" s="12">
        <v>41.303398000000001</v>
      </c>
      <c r="R21" s="12">
        <v>38.866897000000002</v>
      </c>
      <c r="S21" s="12">
        <v>34.369163</v>
      </c>
      <c r="T21" s="12">
        <v>36.674608999999997</v>
      </c>
      <c r="U21" s="12">
        <v>35.491987000000002</v>
      </c>
      <c r="V21" s="12">
        <v>37.919876000000002</v>
      </c>
      <c r="W21" s="12">
        <v>34.435597999999999</v>
      </c>
    </row>
    <row r="22" spans="2:23" ht="13.5" customHeight="1" x14ac:dyDescent="0.25">
      <c r="B22" s="13" t="s">
        <v>12</v>
      </c>
      <c r="C22" s="12">
        <v>6.2729030000000003</v>
      </c>
      <c r="D22" s="12">
        <v>6.1290630000000004</v>
      </c>
      <c r="E22" s="12">
        <v>6.4736130000000003</v>
      </c>
      <c r="F22" s="12">
        <v>7.5948659999999997</v>
      </c>
      <c r="G22" s="12">
        <v>8.0932919999999999</v>
      </c>
      <c r="H22" s="12">
        <v>7.7272069999999999</v>
      </c>
      <c r="I22" s="12">
        <v>7.2469799999999998</v>
      </c>
      <c r="J22" s="12">
        <v>8.1179240000000004</v>
      </c>
      <c r="K22" s="12">
        <v>8.750356</v>
      </c>
      <c r="L22" s="12">
        <v>9.3585949999999993</v>
      </c>
      <c r="M22" s="12">
        <v>9.0216349999999998</v>
      </c>
      <c r="N22" s="12">
        <v>9.1769610000000004</v>
      </c>
      <c r="O22" s="12">
        <v>8.6614660000000008</v>
      </c>
      <c r="P22" s="12">
        <v>10.251423000000001</v>
      </c>
      <c r="Q22" s="12">
        <v>10.974149000000001</v>
      </c>
      <c r="R22" s="12">
        <v>10.336221999999999</v>
      </c>
      <c r="S22" s="12">
        <v>9.2048190000000005</v>
      </c>
      <c r="T22" s="12">
        <v>9.8816140000000008</v>
      </c>
      <c r="U22" s="12">
        <v>9.743449</v>
      </c>
      <c r="V22" s="12">
        <v>10.604689</v>
      </c>
      <c r="W22" s="12">
        <v>9.7901030000000002</v>
      </c>
    </row>
    <row r="23" spans="2:23" ht="13.5" customHeight="1" x14ac:dyDescent="0.25">
      <c r="B23" s="13" t="s">
        <v>13</v>
      </c>
      <c r="C23" s="12">
        <v>4.7619429999999996</v>
      </c>
      <c r="D23" s="12">
        <v>4.4204739999999996</v>
      </c>
      <c r="E23" s="12">
        <v>4.3285359999999997</v>
      </c>
      <c r="F23" s="12">
        <v>4.913589</v>
      </c>
      <c r="G23" s="12">
        <v>4.8949829999999999</v>
      </c>
      <c r="H23" s="12">
        <v>6.4217079999999997</v>
      </c>
      <c r="I23" s="12">
        <v>7.3989960000000004</v>
      </c>
      <c r="J23" s="12">
        <v>8.378584</v>
      </c>
      <c r="K23" s="12">
        <v>9.1273090000000003</v>
      </c>
      <c r="L23" s="12">
        <v>8.1970430000000007</v>
      </c>
      <c r="M23" s="12">
        <v>8.6827070000000006</v>
      </c>
      <c r="N23" s="12">
        <v>10.351839</v>
      </c>
      <c r="O23" s="12">
        <v>11.918818</v>
      </c>
      <c r="P23" s="12">
        <v>8.4395290000000003</v>
      </c>
      <c r="Q23" s="12">
        <v>7.657762</v>
      </c>
      <c r="R23" s="12">
        <v>7.5100210000000001</v>
      </c>
      <c r="S23" s="12">
        <v>10.362144000000001</v>
      </c>
      <c r="T23" s="12">
        <v>10.602057</v>
      </c>
      <c r="U23" s="12">
        <v>7.8163840000000002</v>
      </c>
      <c r="V23" s="12">
        <v>7.9162470000000003</v>
      </c>
      <c r="W23" s="12">
        <v>7.9320620000000002</v>
      </c>
    </row>
    <row r="24" spans="2:23" ht="13.5" customHeight="1" x14ac:dyDescent="0.25">
      <c r="B24" s="13" t="s">
        <v>14</v>
      </c>
      <c r="C24" s="12">
        <v>3.1702680000000001</v>
      </c>
      <c r="D24" s="12"/>
      <c r="E24" s="12"/>
      <c r="F24" s="12">
        <v>2.5259160000000001</v>
      </c>
      <c r="G24" s="12">
        <v>2.553871</v>
      </c>
      <c r="H24" s="12">
        <v>2.7617799999999999</v>
      </c>
      <c r="I24" s="12">
        <v>2.5049009999999998</v>
      </c>
      <c r="J24" s="12">
        <v>3.0554899999999998</v>
      </c>
      <c r="K24" s="12">
        <v>3.205282</v>
      </c>
      <c r="L24" s="12">
        <v>3.1576900000000001</v>
      </c>
      <c r="M24" s="12">
        <v>2.7901470000000002</v>
      </c>
      <c r="N24" s="12">
        <v>2.8260719999999999</v>
      </c>
      <c r="O24" s="12">
        <v>2.472899</v>
      </c>
      <c r="P24" s="12">
        <v>2.7881339999999999</v>
      </c>
      <c r="Q24" s="12">
        <v>2.7824200000000001</v>
      </c>
      <c r="R24" s="12">
        <v>2.467419</v>
      </c>
      <c r="S24" s="12">
        <v>2.3055949999999998</v>
      </c>
      <c r="T24" s="12">
        <v>2.3162419999999999</v>
      </c>
      <c r="U24" s="12">
        <v>2.0799979999999998</v>
      </c>
      <c r="V24" s="12">
        <v>1.6773960000000001</v>
      </c>
      <c r="W24" s="12">
        <v>1.468934</v>
      </c>
    </row>
    <row r="25" spans="2:23" ht="13.5" customHeight="1" x14ac:dyDescent="0.25">
      <c r="B25" s="11" t="s">
        <v>15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2:23" ht="13.5" customHeight="1" x14ac:dyDescent="0.25">
      <c r="B26" s="14" t="s">
        <v>16</v>
      </c>
      <c r="C26" s="12">
        <v>16.437228999999999</v>
      </c>
      <c r="D26" s="12">
        <v>13.694772</v>
      </c>
      <c r="E26" s="12">
        <v>13.150331</v>
      </c>
      <c r="F26" s="12">
        <v>12.692989000000001</v>
      </c>
      <c r="G26" s="12">
        <v>12.906155</v>
      </c>
      <c r="H26" s="12">
        <v>13.079256000000001</v>
      </c>
      <c r="I26" s="12">
        <v>12.28341</v>
      </c>
      <c r="J26" s="12">
        <v>14.253565</v>
      </c>
      <c r="K26" s="12">
        <v>15.384824</v>
      </c>
      <c r="L26" s="12">
        <v>16.032712</v>
      </c>
      <c r="M26" s="12">
        <v>15.183795</v>
      </c>
      <c r="N26" s="12">
        <v>16.518484999999998</v>
      </c>
      <c r="O26" s="12">
        <v>15.437612</v>
      </c>
      <c r="P26" s="12">
        <v>18.551635000000001</v>
      </c>
      <c r="Q26" s="12">
        <v>19.573571999999999</v>
      </c>
      <c r="R26" s="12">
        <v>18.340050999999999</v>
      </c>
      <c r="S26" s="12">
        <v>18.358006</v>
      </c>
      <c r="T26" s="12">
        <v>19.882151</v>
      </c>
      <c r="U26" s="12">
        <v>18.572904999999999</v>
      </c>
      <c r="V26" s="12">
        <v>15.784053999999999</v>
      </c>
      <c r="W26" s="12">
        <v>14.379021</v>
      </c>
    </row>
    <row r="27" spans="2:23" ht="13.5" customHeight="1" x14ac:dyDescent="0.25">
      <c r="B27" s="14" t="s">
        <v>17</v>
      </c>
      <c r="C27" s="12">
        <v>8.89419</v>
      </c>
      <c r="D27" s="12">
        <v>8.1006879999999999</v>
      </c>
      <c r="E27" s="12">
        <v>9.3017289999999999</v>
      </c>
      <c r="F27" s="12">
        <v>9.368271</v>
      </c>
      <c r="G27" s="12">
        <v>9.0609559999999991</v>
      </c>
      <c r="H27" s="12">
        <v>10.587384</v>
      </c>
      <c r="I27" s="12">
        <v>9.6588930000000008</v>
      </c>
      <c r="J27" s="12">
        <v>10.109284000000001</v>
      </c>
      <c r="K27" s="12">
        <v>9.5451979999999992</v>
      </c>
      <c r="L27" s="12">
        <v>10.232229999999999</v>
      </c>
      <c r="M27" s="12">
        <v>10.157168</v>
      </c>
      <c r="N27" s="12">
        <v>9.1934819999999995</v>
      </c>
      <c r="O27" s="12">
        <v>8.0792020000000004</v>
      </c>
      <c r="P27" s="12">
        <v>9.3310680000000001</v>
      </c>
      <c r="Q27" s="12">
        <v>9.0615919999999992</v>
      </c>
      <c r="R27" s="12">
        <v>8.5954180000000004</v>
      </c>
      <c r="S27" s="12">
        <v>7.3940409999999996</v>
      </c>
      <c r="T27" s="12">
        <v>7.2972380000000001</v>
      </c>
      <c r="U27" s="12">
        <v>7.3354090000000003</v>
      </c>
      <c r="V27" s="12">
        <v>6.4259149999999998</v>
      </c>
      <c r="W27" s="12">
        <v>5.7887409999999999</v>
      </c>
    </row>
    <row r="28" spans="2:23" ht="13.5" customHeight="1" x14ac:dyDescent="0.25">
      <c r="B28" s="14" t="s">
        <v>18</v>
      </c>
      <c r="C28" s="12">
        <v>1.6985969999999999</v>
      </c>
      <c r="D28" s="12">
        <v>1.6033630000000001</v>
      </c>
      <c r="E28" s="12">
        <v>1.7270859999999999</v>
      </c>
      <c r="F28" s="12">
        <v>1.991789</v>
      </c>
      <c r="G28" s="12">
        <v>1.961001</v>
      </c>
      <c r="H28" s="12">
        <v>2.0120659999999999</v>
      </c>
      <c r="I28" s="12">
        <v>1.850225</v>
      </c>
      <c r="J28" s="12">
        <v>2.1708370000000001</v>
      </c>
      <c r="K28" s="12">
        <v>2.3011560000000002</v>
      </c>
      <c r="L28" s="12">
        <v>2.2149160000000001</v>
      </c>
      <c r="M28" s="12">
        <v>2.1175850000000001</v>
      </c>
      <c r="N28" s="12">
        <v>2.4102030000000001</v>
      </c>
      <c r="O28" s="12">
        <v>2.1451739999999999</v>
      </c>
      <c r="P28" s="12">
        <v>2.5946410000000002</v>
      </c>
      <c r="Q28" s="12">
        <v>2.7070789999999998</v>
      </c>
      <c r="R28" s="12">
        <v>2.697514</v>
      </c>
      <c r="S28" s="12">
        <v>2.4261339999999998</v>
      </c>
      <c r="T28" s="12">
        <v>2.5718649999999998</v>
      </c>
      <c r="U28" s="12">
        <v>3.0166770000000001</v>
      </c>
      <c r="V28" s="12">
        <v>2.6378689999999998</v>
      </c>
      <c r="W28" s="12">
        <v>2.3603200000000002</v>
      </c>
    </row>
    <row r="29" spans="2:23" ht="13.5" customHeight="1" x14ac:dyDescent="0.25">
      <c r="B29" s="14" t="s">
        <v>19</v>
      </c>
      <c r="C29" s="12">
        <v>0.94577800000000001</v>
      </c>
      <c r="D29" s="12">
        <v>0.90961000000000003</v>
      </c>
      <c r="E29" s="12">
        <v>1.0977220000000001</v>
      </c>
      <c r="F29" s="12">
        <v>1.1556850000000001</v>
      </c>
      <c r="G29" s="12">
        <v>1.1299440000000001</v>
      </c>
      <c r="H29" s="12">
        <v>1.3350919999999999</v>
      </c>
      <c r="I29" s="12">
        <v>1.2241109999999999</v>
      </c>
      <c r="J29" s="12">
        <v>1.2688349999999999</v>
      </c>
      <c r="K29" s="12">
        <v>1.1834020000000001</v>
      </c>
      <c r="L29" s="12">
        <v>1.287968</v>
      </c>
      <c r="M29" s="12">
        <v>1.29956</v>
      </c>
      <c r="N29" s="12">
        <v>1.133904</v>
      </c>
      <c r="O29" s="12">
        <v>0.99107599999999996</v>
      </c>
      <c r="P29" s="12">
        <v>1.1370709999999999</v>
      </c>
      <c r="Q29" s="12">
        <v>1.091081</v>
      </c>
      <c r="R29" s="12">
        <v>1.0446800000000001</v>
      </c>
      <c r="S29" s="12">
        <v>0.83789000000000002</v>
      </c>
      <c r="T29" s="12">
        <v>0.79794799999999999</v>
      </c>
      <c r="U29" s="12">
        <v>0.83788300000000004</v>
      </c>
      <c r="V29" s="12">
        <v>0.79112099999999996</v>
      </c>
      <c r="W29" s="12">
        <v>0.71361300000000005</v>
      </c>
    </row>
    <row r="30" spans="2:23" ht="13.5" customHeight="1" x14ac:dyDescent="0.25">
      <c r="B30" s="15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2:23" ht="13.5" customHeight="1" x14ac:dyDescent="0.25">
      <c r="B31" s="11" t="s">
        <v>20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2:23" ht="13.5" customHeight="1" x14ac:dyDescent="0.25">
      <c r="B32" s="13" t="s">
        <v>5</v>
      </c>
      <c r="C32" s="12">
        <v>3.2899219999999998</v>
      </c>
      <c r="D32" s="12">
        <v>2.5722529999999999</v>
      </c>
      <c r="E32" s="12">
        <v>1.9449000000000001</v>
      </c>
      <c r="F32" s="12">
        <v>1.1226229999999999</v>
      </c>
      <c r="G32" s="12">
        <v>0.68673700000000004</v>
      </c>
      <c r="H32" s="12">
        <v>0.64806200000000003</v>
      </c>
      <c r="I32" s="12">
        <v>0.44856699999999999</v>
      </c>
      <c r="J32" s="12">
        <v>0.21479699999999999</v>
      </c>
      <c r="K32" s="12">
        <v>9.8548999999999998E-2</v>
      </c>
      <c r="L32" s="12">
        <v>4.1819000000000002E-2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</row>
    <row r="33" spans="2:23" ht="13.5" customHeight="1" x14ac:dyDescent="0.25">
      <c r="B33" s="13" t="s">
        <v>6</v>
      </c>
      <c r="C33" s="12">
        <v>3.9587490000000001</v>
      </c>
      <c r="D33" s="12">
        <v>4.3429260000000003</v>
      </c>
      <c r="E33" s="12">
        <v>4.9952120000000004</v>
      </c>
      <c r="F33" s="12">
        <v>4.6843329999999996</v>
      </c>
      <c r="G33" s="12">
        <v>4.7713520000000003</v>
      </c>
      <c r="H33" s="12">
        <v>5.6696299999999997</v>
      </c>
      <c r="I33" s="12">
        <v>5.5867760000000004</v>
      </c>
      <c r="J33" s="12">
        <v>4.9410990000000004</v>
      </c>
      <c r="K33" s="12">
        <v>4.2854239999999999</v>
      </c>
      <c r="L33" s="12">
        <v>4.7843369999999998</v>
      </c>
      <c r="M33" s="12">
        <v>5.0132859999999999</v>
      </c>
      <c r="N33" s="12">
        <v>3.8084720000000001</v>
      </c>
      <c r="O33" s="12">
        <v>3.5907269999999998</v>
      </c>
      <c r="P33" s="12">
        <v>3.3737729999999999</v>
      </c>
      <c r="Q33" s="12">
        <v>2.9157099999999998</v>
      </c>
      <c r="R33" s="12">
        <v>2.677905</v>
      </c>
      <c r="S33" s="12">
        <v>2.15428</v>
      </c>
      <c r="T33" s="12">
        <v>1.7391939999999999</v>
      </c>
      <c r="U33" s="12">
        <v>1.4893380000000001</v>
      </c>
      <c r="V33" s="12">
        <v>1.3664000000000001</v>
      </c>
      <c r="W33" s="12">
        <v>1.1947669999999999</v>
      </c>
    </row>
    <row r="34" spans="2:23" ht="13.5" customHeight="1" x14ac:dyDescent="0.25">
      <c r="B34" s="13" t="s">
        <v>7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</row>
    <row r="35" spans="2:23" ht="13.5" customHeight="1" x14ac:dyDescent="0.25">
      <c r="B35" s="13" t="s">
        <v>8</v>
      </c>
      <c r="C35" s="12">
        <v>37.807626999999997</v>
      </c>
      <c r="D35" s="12">
        <v>35.601322000000003</v>
      </c>
      <c r="E35" s="12">
        <v>32.904938999999999</v>
      </c>
      <c r="F35" s="12">
        <v>30.569247000000001</v>
      </c>
      <c r="G35" s="12">
        <v>27.067028000000001</v>
      </c>
      <c r="H35" s="12">
        <v>23.702252000000001</v>
      </c>
      <c r="I35" s="12">
        <v>20.317153999999999</v>
      </c>
      <c r="J35" s="12">
        <v>17.512049999999999</v>
      </c>
      <c r="K35" s="12">
        <v>14.527816</v>
      </c>
      <c r="L35" s="12">
        <v>11.17286</v>
      </c>
      <c r="M35" s="12">
        <v>8.397195</v>
      </c>
      <c r="N35" s="12">
        <v>6.0670609999999998</v>
      </c>
      <c r="O35" s="12">
        <v>3.5154200000000002</v>
      </c>
      <c r="P35" s="12">
        <v>1.3748339999999999</v>
      </c>
      <c r="Q35" s="12">
        <v>0.87271299999999996</v>
      </c>
      <c r="R35" s="12">
        <v>0.44425599999999998</v>
      </c>
      <c r="S35" s="12">
        <v>0.19775100000000001</v>
      </c>
      <c r="T35" s="12">
        <v>6.0278999999999999E-2</v>
      </c>
      <c r="U35" s="12">
        <v>0</v>
      </c>
      <c r="V35" s="12">
        <v>0</v>
      </c>
      <c r="W35" s="12">
        <v>0</v>
      </c>
    </row>
    <row r="36" spans="2:23" ht="13.5" customHeight="1" x14ac:dyDescent="0.25">
      <c r="B36" s="13" t="s">
        <v>9</v>
      </c>
      <c r="C36" s="12">
        <v>19.409976</v>
      </c>
      <c r="D36" s="12">
        <v>20.594290000000001</v>
      </c>
      <c r="E36" s="12">
        <v>21.944818999999999</v>
      </c>
      <c r="F36" s="12">
        <v>23.510715000000001</v>
      </c>
      <c r="G36" s="12">
        <v>24.286508999999999</v>
      </c>
      <c r="H36" s="12">
        <v>24.988427000000001</v>
      </c>
      <c r="I36" s="12">
        <v>25.548848</v>
      </c>
      <c r="J36" s="12">
        <v>26.759688000000001</v>
      </c>
      <c r="K36" s="12">
        <v>27.293288</v>
      </c>
      <c r="L36" s="12">
        <v>26.751476</v>
      </c>
      <c r="M36" s="12">
        <v>26.350776</v>
      </c>
      <c r="N36" s="12">
        <v>27.125211</v>
      </c>
      <c r="O36" s="12">
        <v>26.226147999999998</v>
      </c>
      <c r="P36" s="12">
        <v>26.235346</v>
      </c>
      <c r="Q36" s="12">
        <v>25.147673000000001</v>
      </c>
      <c r="R36" s="12">
        <v>24.1571</v>
      </c>
      <c r="S36" s="12">
        <v>22.360268999999999</v>
      </c>
      <c r="T36" s="12">
        <v>20.741862000000001</v>
      </c>
      <c r="U36" s="12">
        <v>20.019432999999999</v>
      </c>
      <c r="V36" s="12">
        <v>17.547653</v>
      </c>
      <c r="W36" s="12">
        <v>15.724838</v>
      </c>
    </row>
    <row r="37" spans="2:23" ht="13.5" customHeight="1" x14ac:dyDescent="0.25">
      <c r="B37" s="13" t="s">
        <v>10</v>
      </c>
      <c r="C37" s="12">
        <v>13.740404</v>
      </c>
      <c r="D37" s="12">
        <v>15.451914</v>
      </c>
      <c r="E37" s="12">
        <v>17.434920999999999</v>
      </c>
      <c r="F37" s="12">
        <v>19.759371999999999</v>
      </c>
      <c r="G37" s="12">
        <v>21.735669000000001</v>
      </c>
      <c r="H37" s="12">
        <v>23.780878000000001</v>
      </c>
      <c r="I37" s="12">
        <v>26.043478</v>
      </c>
      <c r="J37" s="12">
        <v>28.88898</v>
      </c>
      <c r="K37" s="12">
        <v>31.555543</v>
      </c>
      <c r="L37" s="12">
        <v>33.047573999999997</v>
      </c>
      <c r="M37" s="12">
        <v>35.335453000000001</v>
      </c>
      <c r="N37" s="12">
        <v>39.298535000000001</v>
      </c>
      <c r="O37" s="12">
        <v>41.056780000000003</v>
      </c>
      <c r="P37" s="12">
        <v>44.498373999999998</v>
      </c>
      <c r="Q37" s="12">
        <v>46.445621000000003</v>
      </c>
      <c r="R37" s="12">
        <v>49.044319000000002</v>
      </c>
      <c r="S37" s="12">
        <v>50.397885000000002</v>
      </c>
      <c r="T37" s="12">
        <v>52.333647999999997</v>
      </c>
      <c r="U37" s="12">
        <v>57.362589999999997</v>
      </c>
      <c r="V37" s="12">
        <v>57.366999999999997</v>
      </c>
      <c r="W37" s="12">
        <v>58.649166000000001</v>
      </c>
    </row>
    <row r="38" spans="2:23" ht="13.5" customHeight="1" x14ac:dyDescent="0.25">
      <c r="B38" s="13" t="s">
        <v>11</v>
      </c>
      <c r="C38" s="12">
        <v>9.5578120000000002</v>
      </c>
      <c r="D38" s="12">
        <v>9.6247969999999992</v>
      </c>
      <c r="E38" s="12">
        <v>9.188993</v>
      </c>
      <c r="F38" s="12">
        <v>9.3534109999999995</v>
      </c>
      <c r="G38" s="12">
        <v>9.9277909999999991</v>
      </c>
      <c r="H38" s="12">
        <v>8.9765320000000006</v>
      </c>
      <c r="I38" s="12">
        <v>9.0772519999999997</v>
      </c>
      <c r="J38" s="12">
        <v>8.789752</v>
      </c>
      <c r="K38" s="12">
        <v>9.0983699999999992</v>
      </c>
      <c r="L38" s="12">
        <v>10.105561</v>
      </c>
      <c r="M38" s="12">
        <v>10.290424</v>
      </c>
      <c r="N38" s="12">
        <v>9.5806070000000005</v>
      </c>
      <c r="O38" s="12">
        <v>10.190168999999999</v>
      </c>
      <c r="P38" s="12">
        <v>10.336398000000001</v>
      </c>
      <c r="Q38" s="12">
        <v>10.686363</v>
      </c>
      <c r="R38" s="12">
        <v>10.240899000000001</v>
      </c>
      <c r="S38" s="12">
        <v>10.033595</v>
      </c>
      <c r="T38" s="12">
        <v>10.235638</v>
      </c>
      <c r="U38" s="12">
        <v>8.8332660000000001</v>
      </c>
      <c r="V38" s="12">
        <v>10.738417999999999</v>
      </c>
      <c r="W38" s="12">
        <v>10.944732</v>
      </c>
    </row>
    <row r="39" spans="2:23" ht="13.5" customHeight="1" x14ac:dyDescent="0.25">
      <c r="B39" s="13" t="s">
        <v>12</v>
      </c>
      <c r="C39" s="12">
        <v>1.8195950000000001</v>
      </c>
      <c r="D39" s="12">
        <v>1.9371780000000001</v>
      </c>
      <c r="E39" s="12">
        <v>1.945811</v>
      </c>
      <c r="F39" s="12">
        <v>2.076028</v>
      </c>
      <c r="G39" s="12">
        <v>2.29739</v>
      </c>
      <c r="H39" s="12">
        <v>2.152247</v>
      </c>
      <c r="I39" s="12">
        <v>2.2304080000000002</v>
      </c>
      <c r="J39" s="12">
        <v>2.2103389999999998</v>
      </c>
      <c r="K39" s="12">
        <v>2.3231160000000002</v>
      </c>
      <c r="L39" s="12">
        <v>2.6132970000000002</v>
      </c>
      <c r="M39" s="12">
        <v>2.6766489999999998</v>
      </c>
      <c r="N39" s="12">
        <v>2.5107029999999999</v>
      </c>
      <c r="O39" s="12">
        <v>2.6871139999999998</v>
      </c>
      <c r="P39" s="12">
        <v>2.7381549999999999</v>
      </c>
      <c r="Q39" s="12">
        <v>2.839324</v>
      </c>
      <c r="R39" s="12">
        <v>2.7234539999999998</v>
      </c>
      <c r="S39" s="12">
        <v>2.6872180000000001</v>
      </c>
      <c r="T39" s="12">
        <v>2.757892</v>
      </c>
      <c r="U39" s="12">
        <v>2.4249550000000002</v>
      </c>
      <c r="V39" s="12">
        <v>3.0031110000000001</v>
      </c>
      <c r="W39" s="12">
        <v>3.1116069999999998</v>
      </c>
    </row>
    <row r="40" spans="2:23" ht="13.5" customHeight="1" x14ac:dyDescent="0.25">
      <c r="B40" s="13" t="s">
        <v>13</v>
      </c>
      <c r="C40" s="12">
        <v>1.3813070000000001</v>
      </c>
      <c r="D40" s="12">
        <v>1.397154</v>
      </c>
      <c r="E40" s="12">
        <v>1.301053</v>
      </c>
      <c r="F40" s="12">
        <v>1.3431109999999999</v>
      </c>
      <c r="G40" s="12">
        <v>1.389507</v>
      </c>
      <c r="H40" s="12">
        <v>1.7886280000000001</v>
      </c>
      <c r="I40" s="12">
        <v>2.2771940000000002</v>
      </c>
      <c r="J40" s="12">
        <v>2.2813110000000001</v>
      </c>
      <c r="K40" s="12">
        <v>2.4231929999999999</v>
      </c>
      <c r="L40" s="12">
        <v>2.288945</v>
      </c>
      <c r="M40" s="12">
        <v>2.576092</v>
      </c>
      <c r="N40" s="12">
        <v>2.8321350000000001</v>
      </c>
      <c r="O40" s="12">
        <v>3.6976680000000002</v>
      </c>
      <c r="P40" s="12">
        <v>2.2541980000000001</v>
      </c>
      <c r="Q40" s="12">
        <v>1.9812810000000001</v>
      </c>
      <c r="R40" s="12">
        <v>1.978788</v>
      </c>
      <c r="S40" s="12">
        <v>3.0250819999999998</v>
      </c>
      <c r="T40" s="12">
        <v>2.9589629999999998</v>
      </c>
      <c r="U40" s="12">
        <v>1.945346</v>
      </c>
      <c r="V40" s="12">
        <v>2.2417790000000002</v>
      </c>
      <c r="W40" s="12">
        <v>2.5210620000000001</v>
      </c>
    </row>
    <row r="41" spans="2:23" ht="13.5" customHeight="1" x14ac:dyDescent="0.25">
      <c r="B41" s="13" t="s">
        <v>14</v>
      </c>
      <c r="C41" s="12">
        <v>0.91960699999999995</v>
      </c>
      <c r="D41" s="12">
        <v>0.79513800000000001</v>
      </c>
      <c r="E41" s="12">
        <v>0.74173900000000004</v>
      </c>
      <c r="F41" s="12">
        <v>0.69044899999999998</v>
      </c>
      <c r="G41" s="12">
        <v>0.72495100000000001</v>
      </c>
      <c r="H41" s="12">
        <v>0.76923399999999997</v>
      </c>
      <c r="I41" s="12">
        <v>0.77093500000000004</v>
      </c>
      <c r="J41" s="12">
        <v>0.83194500000000005</v>
      </c>
      <c r="K41" s="12">
        <v>0.85096499999999997</v>
      </c>
      <c r="L41" s="12">
        <v>0.88175400000000004</v>
      </c>
      <c r="M41" s="12">
        <v>0.82781499999999997</v>
      </c>
      <c r="N41" s="12">
        <v>0.77317800000000003</v>
      </c>
      <c r="O41" s="12">
        <v>0.76718699999999995</v>
      </c>
      <c r="P41" s="12">
        <v>0.74471100000000001</v>
      </c>
      <c r="Q41" s="12">
        <v>0.71989099999999995</v>
      </c>
      <c r="R41" s="12">
        <v>0.65013100000000001</v>
      </c>
      <c r="S41" s="12">
        <v>0.67308599999999996</v>
      </c>
      <c r="T41" s="12">
        <v>0.64644800000000002</v>
      </c>
      <c r="U41" s="12">
        <v>0.51767099999999999</v>
      </c>
      <c r="V41" s="12">
        <v>0.47501700000000002</v>
      </c>
      <c r="W41" s="12">
        <v>0.46687400000000001</v>
      </c>
    </row>
    <row r="42" spans="2:23" ht="13.5" customHeight="1" x14ac:dyDescent="0.25">
      <c r="B42" s="11" t="s">
        <v>15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2:23" ht="13.5" customHeight="1" x14ac:dyDescent="0.25">
      <c r="B43" s="14" t="s">
        <v>16</v>
      </c>
      <c r="C43" s="12">
        <v>4.7679830000000001</v>
      </c>
      <c r="D43" s="12">
        <v>4.3284289999999999</v>
      </c>
      <c r="E43" s="12">
        <v>3.9526699999999999</v>
      </c>
      <c r="F43" s="12">
        <v>3.4695800000000001</v>
      </c>
      <c r="G43" s="12">
        <v>3.663586</v>
      </c>
      <c r="H43" s="12">
        <v>3.642944</v>
      </c>
      <c r="I43" s="12">
        <v>3.7804739999999999</v>
      </c>
      <c r="J43" s="12">
        <v>3.8809439999999999</v>
      </c>
      <c r="K43" s="12">
        <v>4.0844889999999996</v>
      </c>
      <c r="L43" s="12">
        <v>4.476979</v>
      </c>
      <c r="M43" s="12">
        <v>4.5049149999999996</v>
      </c>
      <c r="N43" s="12">
        <v>4.519253</v>
      </c>
      <c r="O43" s="12">
        <v>4.7893309999999998</v>
      </c>
      <c r="P43" s="12">
        <v>4.9551420000000004</v>
      </c>
      <c r="Q43" s="12">
        <v>5.0642389999999997</v>
      </c>
      <c r="R43" s="12">
        <v>4.8323539999999996</v>
      </c>
      <c r="S43" s="12">
        <v>5.359362</v>
      </c>
      <c r="T43" s="12">
        <v>5.5489750000000004</v>
      </c>
      <c r="U43" s="12">
        <v>4.6224350000000003</v>
      </c>
      <c r="V43" s="12">
        <v>4.4698399999999996</v>
      </c>
      <c r="W43" s="12">
        <v>4.570112</v>
      </c>
    </row>
    <row r="44" spans="2:23" ht="13.5" customHeight="1" x14ac:dyDescent="0.25">
      <c r="B44" s="14" t="s">
        <v>17</v>
      </c>
      <c r="C44" s="12">
        <v>2.5799569999999998</v>
      </c>
      <c r="D44" s="12">
        <v>2.5603389999999999</v>
      </c>
      <c r="E44" s="12">
        <v>2.795874</v>
      </c>
      <c r="F44" s="12">
        <v>2.560781</v>
      </c>
      <c r="G44" s="12">
        <v>2.5720740000000002</v>
      </c>
      <c r="H44" s="12">
        <v>2.948887</v>
      </c>
      <c r="I44" s="12">
        <v>2.9727239999999999</v>
      </c>
      <c r="J44" s="12">
        <v>2.7525439999999999</v>
      </c>
      <c r="K44" s="12">
        <v>2.534138</v>
      </c>
      <c r="L44" s="12">
        <v>2.8572510000000002</v>
      </c>
      <c r="M44" s="12">
        <v>3.0135529999999999</v>
      </c>
      <c r="N44" s="12">
        <v>2.5152230000000002</v>
      </c>
      <c r="O44" s="12">
        <v>2.5064739999999999</v>
      </c>
      <c r="P44" s="12">
        <v>2.4923280000000001</v>
      </c>
      <c r="Q44" s="12">
        <v>2.3444919999999998</v>
      </c>
      <c r="R44" s="12">
        <v>2.2647759999999999</v>
      </c>
      <c r="S44" s="12">
        <v>2.1585860000000001</v>
      </c>
      <c r="T44" s="12">
        <v>2.03661</v>
      </c>
      <c r="U44" s="12">
        <v>1.8256410000000001</v>
      </c>
      <c r="V44" s="12">
        <v>1.819736</v>
      </c>
      <c r="W44" s="12">
        <v>1.839847</v>
      </c>
    </row>
    <row r="45" spans="2:23" ht="13.5" customHeight="1" x14ac:dyDescent="0.25">
      <c r="B45" s="14" t="s">
        <v>18</v>
      </c>
      <c r="C45" s="12">
        <v>0.49271599999999999</v>
      </c>
      <c r="D45" s="12">
        <v>0.50676600000000005</v>
      </c>
      <c r="E45" s="12">
        <v>0.51912000000000003</v>
      </c>
      <c r="F45" s="12">
        <v>0.54444800000000004</v>
      </c>
      <c r="G45" s="12">
        <v>0.55665600000000004</v>
      </c>
      <c r="H45" s="12">
        <v>0.56041799999999997</v>
      </c>
      <c r="I45" s="12">
        <v>0.56944499999999998</v>
      </c>
      <c r="J45" s="12">
        <v>0.59107299999999996</v>
      </c>
      <c r="K45" s="12">
        <v>0.61092999999999997</v>
      </c>
      <c r="L45" s="12">
        <v>0.61849399999999999</v>
      </c>
      <c r="M45" s="12">
        <v>0.62827100000000002</v>
      </c>
      <c r="N45" s="12">
        <v>0.65940200000000004</v>
      </c>
      <c r="O45" s="12">
        <v>0.66551400000000005</v>
      </c>
      <c r="P45" s="12">
        <v>0.69302900000000001</v>
      </c>
      <c r="Q45" s="12">
        <v>0.70039799999999997</v>
      </c>
      <c r="R45" s="12">
        <v>0.710758</v>
      </c>
      <c r="S45" s="12">
        <v>0.70827600000000002</v>
      </c>
      <c r="T45" s="12">
        <v>0.71779000000000004</v>
      </c>
      <c r="U45" s="12">
        <v>0.75079200000000001</v>
      </c>
      <c r="V45" s="12">
        <v>0.74700999999999995</v>
      </c>
      <c r="W45" s="12">
        <v>0.75018499999999999</v>
      </c>
    </row>
    <row r="46" spans="2:23" ht="13.5" customHeight="1" x14ac:dyDescent="0.25">
      <c r="B46" s="14" t="s">
        <v>19</v>
      </c>
      <c r="C46" s="12">
        <v>0.27434399999999998</v>
      </c>
      <c r="D46" s="12">
        <v>0.287495</v>
      </c>
      <c r="E46" s="12">
        <v>0.32994899999999999</v>
      </c>
      <c r="F46" s="12">
        <v>0.31590200000000002</v>
      </c>
      <c r="G46" s="12">
        <v>0.32074999999999998</v>
      </c>
      <c r="H46" s="12">
        <v>0.371861</v>
      </c>
      <c r="I46" s="12">
        <v>0.376745</v>
      </c>
      <c r="J46" s="12">
        <v>0.34547699999999998</v>
      </c>
      <c r="K46" s="12">
        <v>0.31417899999999999</v>
      </c>
      <c r="L46" s="12">
        <v>0.359653</v>
      </c>
      <c r="M46" s="12">
        <v>0.385569</v>
      </c>
      <c r="N46" s="12">
        <v>0.310222</v>
      </c>
      <c r="O46" s="12">
        <v>0.30746899999999999</v>
      </c>
      <c r="P46" s="12">
        <v>0.30371199999999998</v>
      </c>
      <c r="Q46" s="12">
        <v>0.28229399999999999</v>
      </c>
      <c r="R46" s="12">
        <v>0.27525899999999998</v>
      </c>
      <c r="S46" s="12">
        <v>0.24460999999999999</v>
      </c>
      <c r="T46" s="12">
        <v>0.22270200000000001</v>
      </c>
      <c r="U46" s="12">
        <v>0.208533</v>
      </c>
      <c r="V46" s="12">
        <v>0.22403500000000001</v>
      </c>
      <c r="W46" s="12">
        <v>0.22680900000000001</v>
      </c>
    </row>
    <row r="47" spans="2:23" ht="13.5" customHeight="1" x14ac:dyDescent="0.25">
      <c r="B47" s="15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2:23" ht="13.5" customHeight="1" x14ac:dyDescent="0.25">
      <c r="B48" s="16" t="s">
        <v>21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3.5" customHeight="1" x14ac:dyDescent="0.25">
      <c r="B49" s="17" t="s">
        <v>22</v>
      </c>
      <c r="C49" s="12">
        <v>597.71500000000003</v>
      </c>
      <c r="D49" s="12">
        <v>610.45399999999995</v>
      </c>
      <c r="E49" s="12">
        <v>624.774</v>
      </c>
      <c r="F49" s="12">
        <v>638.43600000000004</v>
      </c>
      <c r="G49" s="12">
        <v>652.62300000000005</v>
      </c>
      <c r="H49" s="12">
        <v>665.99199999999996</v>
      </c>
      <c r="I49" s="12">
        <v>679.346</v>
      </c>
      <c r="J49" s="12">
        <v>691.20899999999995</v>
      </c>
      <c r="K49" s="12">
        <v>703.35799999999995</v>
      </c>
      <c r="L49" s="12">
        <v>713.20500000000004</v>
      </c>
      <c r="M49" s="12">
        <v>723.928</v>
      </c>
      <c r="N49" s="12">
        <v>735.03</v>
      </c>
      <c r="O49" s="12">
        <v>746.76499999999999</v>
      </c>
      <c r="P49" s="12">
        <v>758.20100000000002</v>
      </c>
      <c r="Q49" s="12">
        <v>769.28399999999999</v>
      </c>
      <c r="R49" s="12">
        <v>781.726</v>
      </c>
      <c r="S49" s="12">
        <v>794.37800000000004</v>
      </c>
      <c r="T49" s="12">
        <v>806.60599999999999</v>
      </c>
      <c r="U49" s="12">
        <v>823.97699999999998</v>
      </c>
      <c r="V49" s="12">
        <v>840.774</v>
      </c>
      <c r="W49" s="12">
        <v>856.33600000000001</v>
      </c>
    </row>
    <row r="50" spans="1:23" ht="13.5" customHeight="1" x14ac:dyDescent="0.25">
      <c r="B50" s="15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s="8" customFormat="1" ht="13.5" customHeight="1" x14ac:dyDescent="0.2">
      <c r="B51" s="16" t="s">
        <v>23</v>
      </c>
      <c r="C51" s="18">
        <v>0.576766</v>
      </c>
      <c r="D51" s="18">
        <v>0.51828799999999997</v>
      </c>
      <c r="E51" s="18">
        <v>0.53250500000000001</v>
      </c>
      <c r="F51" s="18">
        <v>0.57301999999999997</v>
      </c>
      <c r="G51" s="18">
        <v>0.539794</v>
      </c>
      <c r="H51" s="18">
        <v>0.53908999999999996</v>
      </c>
      <c r="I51" s="18">
        <v>0.47827999999999998</v>
      </c>
      <c r="J51" s="18">
        <v>0.53134599999999998</v>
      </c>
      <c r="K51" s="18">
        <v>0.53552299999999997</v>
      </c>
      <c r="L51" s="18">
        <v>0.50212000000000001</v>
      </c>
      <c r="M51" s="18">
        <v>0.465584</v>
      </c>
      <c r="N51" s="18">
        <v>0.49727700000000002</v>
      </c>
      <c r="O51" s="18">
        <v>0.43164000000000002</v>
      </c>
      <c r="P51" s="18">
        <v>0.49378899999999998</v>
      </c>
      <c r="Q51" s="18">
        <v>0.50242299999999995</v>
      </c>
      <c r="R51" s="18">
        <v>0.48549799999999999</v>
      </c>
      <c r="S51" s="18">
        <v>0.43120599999999998</v>
      </c>
      <c r="T51" s="18">
        <v>0.44421100000000002</v>
      </c>
      <c r="U51" s="18">
        <v>0.48763400000000001</v>
      </c>
      <c r="V51" s="18">
        <v>0.41999799999999998</v>
      </c>
      <c r="W51" s="18">
        <v>0.36741600000000002</v>
      </c>
    </row>
    <row r="52" spans="1:23" s="8" customFormat="1" ht="13.5" customHeight="1" x14ac:dyDescent="0.2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s="8" customFormat="1" ht="13.5" customHeight="1" x14ac:dyDescent="0.2"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ht="13.5" customHeight="1" x14ac:dyDescent="0.25">
      <c r="B54" s="8" t="s">
        <v>24</v>
      </c>
      <c r="C54" s="10">
        <v>32.403472000000001</v>
      </c>
      <c r="D54" s="10">
        <v>30.243048999999999</v>
      </c>
      <c r="E54" s="10">
        <v>30.598918999999999</v>
      </c>
      <c r="F54" s="10">
        <v>33.975625000000001</v>
      </c>
      <c r="G54" s="10">
        <v>34.060187999999997</v>
      </c>
      <c r="H54" s="10">
        <v>31.688938</v>
      </c>
      <c r="I54" s="10">
        <v>28.476084</v>
      </c>
      <c r="J54" s="10">
        <v>30.960730999999999</v>
      </c>
      <c r="K54" s="10">
        <v>32.437302000000003</v>
      </c>
      <c r="L54" s="10">
        <v>33.490501999999999</v>
      </c>
      <c r="M54" s="10">
        <v>30.806491999999999</v>
      </c>
      <c r="N54" s="10">
        <v>31.547706999999999</v>
      </c>
      <c r="O54" s="10">
        <v>29.251508999999999</v>
      </c>
      <c r="P54" s="10">
        <v>34.149883000000003</v>
      </c>
      <c r="Q54" s="10">
        <v>36.235289999999999</v>
      </c>
      <c r="R54" s="10">
        <v>34.198872000000001</v>
      </c>
      <c r="S54" s="10">
        <v>30.155421</v>
      </c>
      <c r="T54" s="10">
        <v>31.778970000000001</v>
      </c>
      <c r="U54" s="10">
        <v>31.895105000000001</v>
      </c>
      <c r="V54" s="10">
        <v>32.823365000000003</v>
      </c>
      <c r="W54" s="10">
        <v>29.696207000000001</v>
      </c>
    </row>
    <row r="55" spans="1:23" s="8" customFormat="1" ht="13.5" customHeight="1" x14ac:dyDescent="0.2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s="8" customFormat="1" ht="13.5" customHeight="1" x14ac:dyDescent="0.2">
      <c r="B56" s="9" t="s">
        <v>25</v>
      </c>
      <c r="C56" s="18">
        <v>0.93614200000000003</v>
      </c>
      <c r="D56" s="18">
        <v>0.84164399999999995</v>
      </c>
      <c r="E56" s="18">
        <v>0.89355700000000005</v>
      </c>
      <c r="F56" s="18">
        <v>0.96407200000000004</v>
      </c>
      <c r="G56" s="18">
        <v>0.930566</v>
      </c>
      <c r="H56" s="18">
        <v>0.92401800000000001</v>
      </c>
      <c r="I56" s="18">
        <v>0.82673300000000005</v>
      </c>
      <c r="J56" s="18">
        <v>0.90995499999999996</v>
      </c>
      <c r="K56" s="18">
        <v>0.93591800000000003</v>
      </c>
      <c r="L56" s="18">
        <v>0.93668399999999996</v>
      </c>
      <c r="M56" s="18">
        <v>0.84901700000000002</v>
      </c>
      <c r="N56" s="18">
        <v>0.870448</v>
      </c>
      <c r="O56" s="18">
        <v>0.78945799999999999</v>
      </c>
      <c r="P56" s="18">
        <v>0.91546000000000005</v>
      </c>
      <c r="Q56" s="18">
        <v>0.99540499999999998</v>
      </c>
      <c r="R56" s="18">
        <v>0.91982799999999998</v>
      </c>
      <c r="S56" s="18">
        <v>0.88200100000000003</v>
      </c>
      <c r="T56" s="18">
        <v>0.91991000000000001</v>
      </c>
      <c r="U56" s="18">
        <v>0.92142900000000005</v>
      </c>
      <c r="V56" s="18">
        <v>0.95598499999999997</v>
      </c>
      <c r="W56" s="18">
        <v>0.84004199999999996</v>
      </c>
    </row>
    <row r="57" spans="1:23" ht="13.5" customHeight="1" x14ac:dyDescent="0.25"/>
    <row r="58" spans="1:23" x14ac:dyDescent="0.25">
      <c r="A58" s="1" t="s">
        <v>26</v>
      </c>
      <c r="B5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Existing capacity</vt:lpstr>
      <vt:lpstr>stock</vt:lpstr>
      <vt:lpstr>efficiency</vt:lpstr>
      <vt:lpstr>secondary energy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Blais, Michel</dc:creator>
  <cp:lastModifiedBy>David Elder</cp:lastModifiedBy>
  <dcterms:created xsi:type="dcterms:W3CDTF">2023-04-24T20:19:46Z</dcterms:created>
  <dcterms:modified xsi:type="dcterms:W3CDTF">2024-01-09T22:32:52Z</dcterms:modified>
</cp:coreProperties>
</file>