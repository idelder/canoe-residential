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.sharepoint.com/sites/001T_FASECIVMINPosengroup-DaveyElderChannel/Shared Documents/Davey Elder Channel/MATLAB/Residential end-use demands/"/>
    </mc:Choice>
  </mc:AlternateContent>
  <xr:revisionPtr revIDLastSave="61" documentId="8_{D46CE152-7203-47C6-A0CE-939808DFC7DD}" xr6:coauthVersionLast="47" xr6:coauthVersionMax="47" xr10:uidLastSave="{28CF1837-4C8F-4A6D-B21D-00AB903343E7}"/>
  <bookViews>
    <workbookView xWindow="-19310" yWindow="8290" windowWidth="19420" windowHeight="10300" firstSheet="3" activeTab="6" xr2:uid="{3FCFD51B-EE15-42AF-8ED3-7CD82AD4B488}"/>
  </bookViews>
  <sheets>
    <sheet name="years" sheetId="1" r:id="rId1"/>
    <sheet name="fuels by use" sheetId="2" r:id="rId2"/>
    <sheet name="energy by fuel" sheetId="4" r:id="rId3"/>
    <sheet name="projected energy use" sheetId="6" r:id="rId4"/>
    <sheet name="energy by end-use" sheetId="5" r:id="rId5"/>
    <sheet name="bounds" sheetId="3" r:id="rId6"/>
    <sheet name="forecast result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7" l="1" a="1"/>
  <c r="A9" i="7" s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<sst xmlns="http://schemas.openxmlformats.org/spreadsheetml/2006/main" count="92" uniqueCount="22">
  <si>
    <t>years</t>
  </si>
  <si>
    <t>zeroyear</t>
  </si>
  <si>
    <t>ones</t>
  </si>
  <si>
    <t>Year</t>
  </si>
  <si>
    <t>Space heating</t>
  </si>
  <si>
    <t>Electricity</t>
  </si>
  <si>
    <t>Natural Gas</t>
  </si>
  <si>
    <t>Heating Oil</t>
  </si>
  <si>
    <t>Other</t>
  </si>
  <si>
    <t>Gain</t>
  </si>
  <si>
    <t>Water heating</t>
  </si>
  <si>
    <t>Appliances</t>
  </si>
  <si>
    <t>Lighting</t>
  </si>
  <si>
    <t>Space cooling</t>
  </si>
  <si>
    <t>Total energy demand</t>
  </si>
  <si>
    <t>lower bound</t>
  </si>
  <si>
    <t>upper bound</t>
  </si>
  <si>
    <t>x0</t>
  </si>
  <si>
    <t>a</t>
  </si>
  <si>
    <t>b</t>
  </si>
  <si>
    <t>(PJ)</t>
  </si>
  <si>
    <t>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</si>
</sst>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1" fillId="0" borderId="0" xfId="0" applyNumberFormat="1" applyFont="1"/>
    <xf numFmtId="0" fontId="2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8370A5E4-3C69-4591-BCC2-0A030EBC5B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BC09-4C1C-45C5-803E-87BD0C06DD67}">
  <dimension ref="A1:AU3"/>
  <sheetViews>
    <sheetView workbookViewId="0">
      <selection activeCell="H13" sqref="H13"/>
    </sheetView>
  </sheetViews>
  <sheetFormatPr defaultRowHeight="15" x14ac:dyDescent="0.25"/>
  <sheetData>
    <row r="1" spans="1:47" x14ac:dyDescent="0.25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  <c r="V1">
        <v>2025</v>
      </c>
      <c r="W1">
        <v>2026</v>
      </c>
      <c r="X1">
        <v>2027</v>
      </c>
      <c r="Y1">
        <v>2028</v>
      </c>
      <c r="Z1">
        <v>2029</v>
      </c>
      <c r="AA1">
        <v>2030</v>
      </c>
      <c r="AB1">
        <v>2031</v>
      </c>
      <c r="AC1">
        <v>2032</v>
      </c>
      <c r="AD1">
        <v>2033</v>
      </c>
      <c r="AE1">
        <v>2034</v>
      </c>
      <c r="AF1">
        <v>2035</v>
      </c>
      <c r="AG1">
        <v>2036</v>
      </c>
      <c r="AH1">
        <v>2037</v>
      </c>
      <c r="AI1">
        <v>2038</v>
      </c>
      <c r="AJ1">
        <v>2039</v>
      </c>
      <c r="AK1">
        <v>2040</v>
      </c>
      <c r="AL1">
        <v>2041</v>
      </c>
      <c r="AM1">
        <v>2042</v>
      </c>
      <c r="AN1">
        <v>2043</v>
      </c>
      <c r="AO1">
        <v>2044</v>
      </c>
      <c r="AP1">
        <v>2045</v>
      </c>
      <c r="AQ1">
        <v>2046</v>
      </c>
      <c r="AR1">
        <v>2047</v>
      </c>
      <c r="AS1">
        <v>2048</v>
      </c>
      <c r="AT1">
        <v>2049</v>
      </c>
      <c r="AU1">
        <v>2050</v>
      </c>
    </row>
    <row r="2" spans="1:47" x14ac:dyDescent="0.25">
      <c r="A2" t="s">
        <v>1</v>
      </c>
      <c r="B2">
        <f>B1-$B$1</f>
        <v>0</v>
      </c>
      <c r="C2">
        <f t="shared" ref="C2:AU2" si="0">C1-$B$1</f>
        <v>1</v>
      </c>
      <c r="D2">
        <f t="shared" si="0"/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  <c r="O2">
        <f t="shared" si="0"/>
        <v>13</v>
      </c>
      <c r="P2">
        <f t="shared" si="0"/>
        <v>14</v>
      </c>
      <c r="Q2">
        <f t="shared" si="0"/>
        <v>15</v>
      </c>
      <c r="R2">
        <f t="shared" si="0"/>
        <v>16</v>
      </c>
      <c r="S2">
        <f t="shared" si="0"/>
        <v>17</v>
      </c>
      <c r="T2">
        <f t="shared" si="0"/>
        <v>18</v>
      </c>
      <c r="U2">
        <f t="shared" si="0"/>
        <v>19</v>
      </c>
      <c r="V2">
        <f t="shared" si="0"/>
        <v>20</v>
      </c>
      <c r="W2">
        <f t="shared" si="0"/>
        <v>21</v>
      </c>
      <c r="X2">
        <f t="shared" si="0"/>
        <v>22</v>
      </c>
      <c r="Y2">
        <f t="shared" si="0"/>
        <v>23</v>
      </c>
      <c r="Z2">
        <f t="shared" si="0"/>
        <v>24</v>
      </c>
      <c r="AA2">
        <f t="shared" si="0"/>
        <v>25</v>
      </c>
      <c r="AB2">
        <f t="shared" si="0"/>
        <v>26</v>
      </c>
      <c r="AC2">
        <f t="shared" si="0"/>
        <v>27</v>
      </c>
      <c r="AD2">
        <f t="shared" si="0"/>
        <v>28</v>
      </c>
      <c r="AE2">
        <f t="shared" si="0"/>
        <v>29</v>
      </c>
      <c r="AF2">
        <f t="shared" si="0"/>
        <v>30</v>
      </c>
      <c r="AG2">
        <f t="shared" si="0"/>
        <v>31</v>
      </c>
      <c r="AH2">
        <f t="shared" si="0"/>
        <v>32</v>
      </c>
      <c r="AI2">
        <f t="shared" si="0"/>
        <v>33</v>
      </c>
      <c r="AJ2">
        <f t="shared" si="0"/>
        <v>34</v>
      </c>
      <c r="AK2">
        <f t="shared" si="0"/>
        <v>35</v>
      </c>
      <c r="AL2">
        <f t="shared" si="0"/>
        <v>36</v>
      </c>
      <c r="AM2">
        <f t="shared" si="0"/>
        <v>37</v>
      </c>
      <c r="AN2">
        <f t="shared" si="0"/>
        <v>38</v>
      </c>
      <c r="AO2">
        <f t="shared" si="0"/>
        <v>39</v>
      </c>
      <c r="AP2">
        <f t="shared" si="0"/>
        <v>40</v>
      </c>
      <c r="AQ2">
        <f t="shared" si="0"/>
        <v>41</v>
      </c>
      <c r="AR2">
        <f t="shared" si="0"/>
        <v>42</v>
      </c>
      <c r="AS2">
        <f t="shared" si="0"/>
        <v>43</v>
      </c>
      <c r="AT2">
        <f t="shared" si="0"/>
        <v>44</v>
      </c>
      <c r="AU2">
        <f t="shared" si="0"/>
        <v>45</v>
      </c>
    </row>
    <row r="3" spans="1:4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5021-3AFD-4801-8620-157C578791CF}">
  <dimension ref="A1:W26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C11" sqref="C11"/>
    </sheetView>
  </sheetViews>
  <sheetFormatPr defaultRowHeight="15" x14ac:dyDescent="0.25"/>
  <cols>
    <col min="1" max="1" width="18.42578125" customWidth="1"/>
    <col min="2" max="2" width="16.7109375" style="3" customWidth="1"/>
  </cols>
  <sheetData>
    <row r="1" spans="1:21" x14ac:dyDescent="0.25">
      <c r="B1" s="3" t="s">
        <v>3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</row>
    <row r="2" spans="1:21" x14ac:dyDescent="0.25">
      <c r="A2" s="7" t="s">
        <v>4</v>
      </c>
      <c r="B2" s="4" t="s">
        <v>5</v>
      </c>
      <c r="C2" s="1">
        <v>47.951580999999997</v>
      </c>
      <c r="D2" s="1">
        <v>44.716037</v>
      </c>
      <c r="E2" s="1">
        <v>45.225565000000003</v>
      </c>
      <c r="F2" s="1">
        <v>50.945953000000003</v>
      </c>
      <c r="G2" s="1">
        <v>52.504876000000003</v>
      </c>
      <c r="H2" s="1">
        <v>48.699947000000002</v>
      </c>
      <c r="I2" s="1">
        <v>44.740775999999997</v>
      </c>
      <c r="J2" s="1">
        <v>49.104843000000002</v>
      </c>
      <c r="K2" s="1">
        <v>52.159277000000003</v>
      </c>
      <c r="L2" s="1">
        <v>55.060110999999999</v>
      </c>
      <c r="M2" s="1">
        <v>52.648488</v>
      </c>
      <c r="N2" s="1">
        <v>53.092387000000002</v>
      </c>
      <c r="O2" s="1">
        <v>49.734126000000003</v>
      </c>
      <c r="P2" s="1">
        <v>58.499169999999999</v>
      </c>
      <c r="Q2" s="1">
        <v>62.416389000000002</v>
      </c>
      <c r="R2" s="1">
        <v>58.690389000000003</v>
      </c>
      <c r="S2" s="1">
        <v>51.902850000000001</v>
      </c>
      <c r="T2" s="1">
        <v>55.362279999999998</v>
      </c>
      <c r="U2" s="1">
        <v>53.763083000000002</v>
      </c>
    </row>
    <row r="3" spans="1:21" x14ac:dyDescent="0.25">
      <c r="A3" s="7"/>
      <c r="B3" s="4" t="s">
        <v>6</v>
      </c>
      <c r="C3" s="1">
        <v>239.17238599999999</v>
      </c>
      <c r="D3" s="1">
        <v>221.59720799999999</v>
      </c>
      <c r="E3" s="1">
        <v>235.42189300000001</v>
      </c>
      <c r="F3" s="1">
        <v>264.50231500000001</v>
      </c>
      <c r="G3" s="1">
        <v>251.53512799999999</v>
      </c>
      <c r="H3" s="1">
        <v>254.862392</v>
      </c>
      <c r="I3" s="1">
        <v>228.74614600000001</v>
      </c>
      <c r="J3" s="1">
        <v>263.49579999999997</v>
      </c>
      <c r="K3" s="1">
        <v>270.92619100000002</v>
      </c>
      <c r="L3" s="1">
        <v>248.289119</v>
      </c>
      <c r="M3" s="1">
        <v>230.72019800000001</v>
      </c>
      <c r="N3" s="1">
        <v>259.79228699999999</v>
      </c>
      <c r="O3" s="1">
        <v>223.330826</v>
      </c>
      <c r="P3" s="1">
        <v>264.398506</v>
      </c>
      <c r="Q3" s="1">
        <v>274.089607</v>
      </c>
      <c r="R3" s="1">
        <v>274.024314</v>
      </c>
      <c r="S3" s="1">
        <v>245.12280899999999</v>
      </c>
      <c r="T3" s="1">
        <v>256.97134899999998</v>
      </c>
      <c r="U3" s="1">
        <v>306.497522</v>
      </c>
    </row>
    <row r="4" spans="1:21" x14ac:dyDescent="0.25">
      <c r="A4" s="7"/>
      <c r="B4" s="4" t="s">
        <v>7</v>
      </c>
      <c r="C4" s="1">
        <v>31.1403</v>
      </c>
      <c r="D4" s="1">
        <v>27.776866999999999</v>
      </c>
      <c r="E4" s="1">
        <v>30.538785000000001</v>
      </c>
      <c r="F4" s="1">
        <v>28.875298000000001</v>
      </c>
      <c r="G4" s="1">
        <v>26.49343</v>
      </c>
      <c r="H4" s="1">
        <v>31.711980000000001</v>
      </c>
      <c r="I4" s="1">
        <v>27.816721999999999</v>
      </c>
      <c r="J4" s="1">
        <v>27.27289</v>
      </c>
      <c r="K4" s="1">
        <v>23.992460999999999</v>
      </c>
      <c r="L4" s="1">
        <v>25.431916999999999</v>
      </c>
      <c r="M4" s="1">
        <v>25.177108</v>
      </c>
      <c r="N4" s="1">
        <v>20.845507000000001</v>
      </c>
      <c r="O4" s="1">
        <v>17.478193000000001</v>
      </c>
      <c r="P4" s="1">
        <v>19.325008</v>
      </c>
      <c r="Q4" s="1">
        <v>17.456949999999999</v>
      </c>
      <c r="R4" s="1">
        <v>16.111381000000002</v>
      </c>
      <c r="S4" s="1">
        <v>11.991228</v>
      </c>
      <c r="T4" s="1">
        <v>10.440194</v>
      </c>
      <c r="U4" s="1">
        <v>10.541543000000001</v>
      </c>
    </row>
    <row r="5" spans="1:21" x14ac:dyDescent="0.25">
      <c r="A5" s="7"/>
      <c r="B5" s="4" t="s">
        <v>8</v>
      </c>
      <c r="C5" s="1">
        <v>26.477494</v>
      </c>
      <c r="D5" s="1">
        <v>22.301154999999998</v>
      </c>
      <c r="E5" s="1">
        <v>21.508610999999998</v>
      </c>
      <c r="F5" s="1">
        <v>21.512881</v>
      </c>
      <c r="G5" s="1">
        <v>21.748621</v>
      </c>
      <c r="H5" s="1">
        <v>23.755472999999999</v>
      </c>
      <c r="I5" s="1">
        <v>23.613579999999999</v>
      </c>
      <c r="J5" s="1">
        <v>27.397030000000001</v>
      </c>
      <c r="K5" s="1">
        <v>29.586631000000001</v>
      </c>
      <c r="L5" s="1">
        <v>29.333346000000002</v>
      </c>
      <c r="M5" s="1">
        <v>28.503761000000001</v>
      </c>
      <c r="N5" s="1">
        <v>31.783465</v>
      </c>
      <c r="O5" s="1">
        <v>31.790246000000003</v>
      </c>
      <c r="P5" s="1">
        <v>32.168936000000002</v>
      </c>
      <c r="Q5" s="1">
        <v>32.542704000000001</v>
      </c>
      <c r="R5" s="1">
        <v>30.700130999999999</v>
      </c>
      <c r="S5" s="1">
        <v>33.523991000000002</v>
      </c>
      <c r="T5" s="1">
        <v>35.529290000000003</v>
      </c>
      <c r="U5" s="1">
        <v>30.997001000000001</v>
      </c>
    </row>
    <row r="6" spans="1:21" x14ac:dyDescent="0.25">
      <c r="A6" s="7"/>
      <c r="B6" s="4" t="s">
        <v>9</v>
      </c>
      <c r="C6" s="5">
        <v>32.403472000000001</v>
      </c>
      <c r="D6" s="5">
        <v>30.243048999999999</v>
      </c>
      <c r="E6" s="5">
        <v>30.598918999999999</v>
      </c>
      <c r="F6" s="5">
        <v>33.975625000000001</v>
      </c>
      <c r="G6" s="5">
        <v>34.060187999999997</v>
      </c>
      <c r="H6" s="5">
        <v>31.688938</v>
      </c>
      <c r="I6" s="5">
        <v>28.476084</v>
      </c>
      <c r="J6" s="5">
        <v>30.960730999999999</v>
      </c>
      <c r="K6" s="5">
        <v>32.437302000000003</v>
      </c>
      <c r="L6" s="5">
        <v>33.490501999999999</v>
      </c>
      <c r="M6" s="5">
        <v>30.806491999999999</v>
      </c>
      <c r="N6" s="5">
        <v>31.547706999999999</v>
      </c>
      <c r="O6" s="5">
        <v>29.251508999999999</v>
      </c>
      <c r="P6" s="5">
        <v>34.149883000000003</v>
      </c>
      <c r="Q6" s="5">
        <v>36.235289999999999</v>
      </c>
      <c r="R6" s="5">
        <v>34.198872000000001</v>
      </c>
      <c r="S6" s="5">
        <v>30.155421</v>
      </c>
      <c r="T6" s="5">
        <v>31.778970000000001</v>
      </c>
      <c r="U6" s="5">
        <v>31.895105000000001</v>
      </c>
    </row>
    <row r="7" spans="1:21" x14ac:dyDescent="0.25">
      <c r="A7" s="7" t="s">
        <v>10</v>
      </c>
      <c r="B7" s="4" t="s">
        <v>5</v>
      </c>
      <c r="C7" s="1">
        <v>15.129849999999999</v>
      </c>
      <c r="D7" s="1">
        <v>15.221712</v>
      </c>
      <c r="E7" s="1">
        <v>14.140706</v>
      </c>
      <c r="F7" s="1">
        <v>14.316025</v>
      </c>
      <c r="G7" s="1">
        <v>14.688599999999999</v>
      </c>
      <c r="H7" s="1">
        <v>13.205161</v>
      </c>
      <c r="I7" s="1">
        <v>12.939526000000001</v>
      </c>
      <c r="J7" s="1">
        <v>12.294663</v>
      </c>
      <c r="K7" s="1">
        <v>12.331109</v>
      </c>
      <c r="L7" s="1">
        <v>12.605254</v>
      </c>
      <c r="M7" s="1">
        <v>12.599548</v>
      </c>
      <c r="N7" s="1">
        <v>12.024031000000001</v>
      </c>
      <c r="O7" s="1">
        <v>12.374077</v>
      </c>
      <c r="P7" s="1">
        <v>12.174633</v>
      </c>
      <c r="Q7" s="1">
        <v>11.813209000000001</v>
      </c>
      <c r="R7" s="1">
        <v>11.851432000000001</v>
      </c>
      <c r="S7" s="1">
        <v>10.79388</v>
      </c>
      <c r="T7" s="1">
        <v>10.725239</v>
      </c>
      <c r="U7" s="1">
        <v>10.306099</v>
      </c>
    </row>
    <row r="8" spans="1:21" x14ac:dyDescent="0.25">
      <c r="A8" s="7"/>
      <c r="B8" s="4" t="s">
        <v>6</v>
      </c>
      <c r="C8" s="1">
        <v>74.338848999999996</v>
      </c>
      <c r="D8" s="1">
        <v>77.891159999999999</v>
      </c>
      <c r="E8" s="1">
        <v>78.541113999999993</v>
      </c>
      <c r="F8" s="1">
        <v>82.005919000000006</v>
      </c>
      <c r="G8" s="1">
        <v>81.282154000000006</v>
      </c>
      <c r="H8" s="1">
        <v>84.635024999999999</v>
      </c>
      <c r="I8" s="1">
        <v>83.447563000000002</v>
      </c>
      <c r="J8" s="1">
        <v>86.286635000000004</v>
      </c>
      <c r="K8" s="1">
        <v>84.546763999999996</v>
      </c>
      <c r="L8" s="1">
        <v>77.406031999999996</v>
      </c>
      <c r="M8" s="1">
        <v>78.188028000000003</v>
      </c>
      <c r="N8" s="1">
        <v>85.970065000000005</v>
      </c>
      <c r="O8" s="1">
        <v>81.433211</v>
      </c>
      <c r="P8" s="1">
        <v>83.521906000000001</v>
      </c>
      <c r="Q8" s="1">
        <v>78.889149000000003</v>
      </c>
      <c r="R8" s="1">
        <v>84.389688000000007</v>
      </c>
      <c r="S8" s="1">
        <v>79.318444999999997</v>
      </c>
      <c r="T8" s="1">
        <v>79.853407000000004</v>
      </c>
      <c r="U8" s="1">
        <v>94.951749000000007</v>
      </c>
    </row>
    <row r="9" spans="1:21" x14ac:dyDescent="0.25">
      <c r="A9" s="7"/>
      <c r="B9" s="4" t="s">
        <v>7</v>
      </c>
      <c r="C9" s="1">
        <v>3.0363730000000002</v>
      </c>
      <c r="D9" s="1">
        <v>3.259531</v>
      </c>
      <c r="E9" s="1">
        <v>3.4082880000000002</v>
      </c>
      <c r="F9" s="1">
        <v>3.0947019999999998</v>
      </c>
      <c r="G9" s="1">
        <v>3.0544020000000001</v>
      </c>
      <c r="H9" s="1">
        <v>3.5151490000000001</v>
      </c>
      <c r="I9" s="1">
        <v>3.6393599999999999</v>
      </c>
      <c r="J9" s="1">
        <v>3.3568310000000001</v>
      </c>
      <c r="K9" s="1">
        <v>2.8460529999999999</v>
      </c>
      <c r="L9" s="1">
        <v>3.122258</v>
      </c>
      <c r="M9" s="1">
        <v>3.2143079999999999</v>
      </c>
      <c r="N9" s="1">
        <v>2.4102480000000002</v>
      </c>
      <c r="O9" s="1">
        <v>2.1414230000000001</v>
      </c>
      <c r="P9" s="1">
        <v>1.7709429999999999</v>
      </c>
      <c r="Q9" s="1">
        <v>1.3043750000000001</v>
      </c>
      <c r="R9" s="1">
        <v>1.1527799999999999</v>
      </c>
      <c r="S9" s="1">
        <v>0.80700499999999997</v>
      </c>
      <c r="T9" s="1">
        <v>0.60372800000000004</v>
      </c>
      <c r="U9" s="1">
        <v>0.59334200000000004</v>
      </c>
    </row>
    <row r="10" spans="1:21" x14ac:dyDescent="0.25">
      <c r="A10" s="7"/>
      <c r="B10" s="4" t="s">
        <v>8</v>
      </c>
      <c r="C10" s="1">
        <v>1.0435059999999998</v>
      </c>
      <c r="D10" s="1">
        <v>1.127845</v>
      </c>
      <c r="E10" s="1">
        <v>0.99938900000000008</v>
      </c>
      <c r="F10" s="1">
        <v>1.0271189999999999</v>
      </c>
      <c r="G10" s="1">
        <v>1.084379</v>
      </c>
      <c r="H10" s="1">
        <v>1.203527</v>
      </c>
      <c r="I10" s="1">
        <v>1.4644200000000001</v>
      </c>
      <c r="J10" s="1">
        <v>1.60097</v>
      </c>
      <c r="K10" s="1">
        <v>1.557369</v>
      </c>
      <c r="L10" s="1">
        <v>1.546654</v>
      </c>
      <c r="M10" s="1">
        <v>1.5462389999999999</v>
      </c>
      <c r="N10" s="1">
        <v>1.683535</v>
      </c>
      <c r="O10" s="1">
        <v>1.9267539999999999</v>
      </c>
      <c r="P10" s="1">
        <v>1.3500640000000002</v>
      </c>
      <c r="Q10" s="1">
        <v>1.0992960000000001</v>
      </c>
      <c r="R10" s="1">
        <v>1.042869</v>
      </c>
      <c r="S10" s="1">
        <v>1.2850090000000001</v>
      </c>
      <c r="T10" s="1">
        <v>1.2027099999999999</v>
      </c>
      <c r="U10" s="1">
        <v>0.911999</v>
      </c>
    </row>
    <row r="11" spans="1:21" x14ac:dyDescent="0.25">
      <c r="A11" s="7"/>
      <c r="B11" s="4" t="s">
        <v>9</v>
      </c>
      <c r="C11" s="1">
        <v>-3.2689219999999999</v>
      </c>
      <c r="D11" s="1">
        <v>-3.089105</v>
      </c>
      <c r="E11" s="1">
        <v>-3.2967970000000002</v>
      </c>
      <c r="F11" s="1">
        <v>-3.7085720000000002</v>
      </c>
      <c r="G11" s="1">
        <v>-3.5986229999999999</v>
      </c>
      <c r="H11" s="1">
        <v>-3.7238030000000002</v>
      </c>
      <c r="I11" s="1">
        <v>-3.3192460000000001</v>
      </c>
      <c r="J11" s="1">
        <v>-3.7640720000000001</v>
      </c>
      <c r="K11" s="1">
        <v>-3.8325100000000001</v>
      </c>
      <c r="L11" s="1">
        <v>-3.6386400000000001</v>
      </c>
      <c r="M11" s="1">
        <v>-3.4148480000000001</v>
      </c>
      <c r="N11" s="1">
        <v>-3.845567</v>
      </c>
      <c r="O11" s="1">
        <v>-3.360509</v>
      </c>
      <c r="P11" s="1">
        <v>-3.9632589999999999</v>
      </c>
      <c r="Q11" s="1">
        <v>-4.0874579999999998</v>
      </c>
      <c r="R11" s="1">
        <v>-4.0434089999999996</v>
      </c>
      <c r="S11" s="1">
        <v>-3.6559629999999999</v>
      </c>
      <c r="T11" s="1">
        <v>-3.8417789999999998</v>
      </c>
      <c r="U11" s="1">
        <v>-4.526027</v>
      </c>
    </row>
    <row r="12" spans="1:21" x14ac:dyDescent="0.25">
      <c r="A12" s="7" t="s">
        <v>11</v>
      </c>
      <c r="B12" s="4" t="s">
        <v>5</v>
      </c>
      <c r="C12" s="1">
        <v>59.436383999999997</v>
      </c>
      <c r="D12" s="1">
        <v>61.338301999999999</v>
      </c>
      <c r="E12" s="1">
        <v>57.918756999999999</v>
      </c>
      <c r="F12" s="1">
        <v>59.244903000000001</v>
      </c>
      <c r="G12" s="1">
        <v>62.063788000000002</v>
      </c>
      <c r="H12" s="1">
        <v>57.571522999999999</v>
      </c>
      <c r="I12" s="1">
        <v>58.125200999999997</v>
      </c>
      <c r="J12" s="1">
        <v>57.140680000000003</v>
      </c>
      <c r="K12" s="1">
        <v>58.184804</v>
      </c>
      <c r="L12" s="1">
        <v>60.824800000000003</v>
      </c>
      <c r="M12" s="1">
        <v>61.071496000000003</v>
      </c>
      <c r="N12" s="1">
        <v>59.989525</v>
      </c>
      <c r="O12" s="1">
        <v>62.071066999999999</v>
      </c>
      <c r="P12" s="1">
        <v>62.601556000000002</v>
      </c>
      <c r="Q12" s="1">
        <v>61.621073000000003</v>
      </c>
      <c r="R12" s="1">
        <v>62.598830999999997</v>
      </c>
      <c r="S12" s="1">
        <v>57.530158</v>
      </c>
      <c r="T12" s="1">
        <v>58.137709000000001</v>
      </c>
      <c r="U12" s="1">
        <v>56.301727</v>
      </c>
    </row>
    <row r="13" spans="1:21" x14ac:dyDescent="0.25">
      <c r="A13" s="7"/>
      <c r="B13" s="4" t="s">
        <v>6</v>
      </c>
      <c r="C13" s="1">
        <v>2.4077649999999999</v>
      </c>
      <c r="D13" s="1">
        <v>2.552632</v>
      </c>
      <c r="E13" s="1">
        <v>2.563993</v>
      </c>
      <c r="F13" s="1">
        <v>2.7017660000000001</v>
      </c>
      <c r="G13" s="1">
        <v>2.762718</v>
      </c>
      <c r="H13" s="1">
        <v>3.0445829999999998</v>
      </c>
      <c r="I13" s="1">
        <v>3.1982910000000002</v>
      </c>
      <c r="J13" s="1">
        <v>3.5545650000000002</v>
      </c>
      <c r="K13" s="1">
        <v>3.7760449999999999</v>
      </c>
      <c r="L13" s="1">
        <v>3.6078480000000002</v>
      </c>
      <c r="M13" s="1">
        <v>3.6857730000000002</v>
      </c>
      <c r="N13" s="1">
        <v>4.1006479999999996</v>
      </c>
      <c r="O13" s="1">
        <v>3.976963</v>
      </c>
      <c r="P13" s="1">
        <v>4.1175870000000003</v>
      </c>
      <c r="Q13" s="1">
        <v>3.9532440000000002</v>
      </c>
      <c r="R13" s="1">
        <v>4.3049980000000003</v>
      </c>
      <c r="S13" s="1">
        <v>4.0567460000000004</v>
      </c>
      <c r="T13" s="1">
        <v>4.0932440000000003</v>
      </c>
      <c r="U13" s="1">
        <v>4.9127289999999997</v>
      </c>
    </row>
    <row r="14" spans="1:21" x14ac:dyDescent="0.25">
      <c r="A14" s="7"/>
      <c r="B14" s="4" t="s">
        <v>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7"/>
      <c r="B15" s="4" t="s">
        <v>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7"/>
      <c r="B16" s="4" t="s">
        <v>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3" x14ac:dyDescent="0.25">
      <c r="A17" s="7" t="s">
        <v>12</v>
      </c>
      <c r="B17" s="4" t="s">
        <v>5</v>
      </c>
      <c r="C17" s="5">
        <v>20.451991</v>
      </c>
      <c r="D17" s="5">
        <v>21.382764999999999</v>
      </c>
      <c r="E17" s="5">
        <v>20.348068000000001</v>
      </c>
      <c r="F17" s="5">
        <v>21.200074000000001</v>
      </c>
      <c r="G17" s="5">
        <v>21.947859000000001</v>
      </c>
      <c r="H17" s="5">
        <v>19.873763</v>
      </c>
      <c r="I17" s="5">
        <v>19.639804000000002</v>
      </c>
      <c r="J17" s="5">
        <v>18.815994</v>
      </c>
      <c r="K17" s="5">
        <v>19.18149</v>
      </c>
      <c r="L17" s="5">
        <v>19.965008999999998</v>
      </c>
      <c r="M17" s="5">
        <v>20.447106000000002</v>
      </c>
      <c r="N17" s="5">
        <v>19.801048000000002</v>
      </c>
      <c r="O17" s="5">
        <v>20.203538999999999</v>
      </c>
      <c r="P17" s="5">
        <v>19.920597000000001</v>
      </c>
      <c r="Q17" s="5">
        <v>19.216448</v>
      </c>
      <c r="R17" s="5">
        <v>19.158054</v>
      </c>
      <c r="S17" s="5">
        <v>17.298859</v>
      </c>
      <c r="T17" s="5">
        <v>17.363281000000001</v>
      </c>
      <c r="U17" s="5">
        <v>16.581827000000001</v>
      </c>
      <c r="V17" s="5"/>
      <c r="W17" s="5"/>
    </row>
    <row r="18" spans="1:23" x14ac:dyDescent="0.25">
      <c r="A18" s="7"/>
      <c r="B18" s="4" t="s"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3" x14ac:dyDescent="0.25">
      <c r="A19" s="7"/>
      <c r="B19" s="4" t="s">
        <v>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3" x14ac:dyDescent="0.25">
      <c r="A20" s="7"/>
      <c r="B20" s="4" t="s">
        <v>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5">
      <c r="A21" s="7"/>
      <c r="B21" s="4" t="s">
        <v>9</v>
      </c>
      <c r="C21" s="1">
        <v>-8.3869159999999994</v>
      </c>
      <c r="D21" s="1">
        <v>-7.8824149999999999</v>
      </c>
      <c r="E21" s="1">
        <v>-7.9604179999999998</v>
      </c>
      <c r="F21" s="1">
        <v>-8.9469209999999997</v>
      </c>
      <c r="G21" s="1">
        <v>-8.9387650000000001</v>
      </c>
      <c r="H21" s="1">
        <v>-8.0356039999999993</v>
      </c>
      <c r="I21" s="1">
        <v>-7.1033080000000002</v>
      </c>
      <c r="J21" s="1">
        <v>-7.4895839999999998</v>
      </c>
      <c r="K21" s="1">
        <v>-7.8529150000000003</v>
      </c>
      <c r="L21" s="1">
        <v>-8.1803530000000002</v>
      </c>
      <c r="M21" s="1">
        <v>-7.5935249999999996</v>
      </c>
      <c r="N21" s="1">
        <v>-7.5387219999999999</v>
      </c>
      <c r="O21" s="1">
        <v>-6.975498</v>
      </c>
      <c r="P21" s="1">
        <v>-7.9740539999999998</v>
      </c>
      <c r="Q21" s="1">
        <v>-8.3628830000000001</v>
      </c>
      <c r="R21" s="1">
        <v>-7.704116</v>
      </c>
      <c r="S21" s="1">
        <v>-6.6702170000000001</v>
      </c>
      <c r="T21" s="1">
        <v>-6.9825900000000001</v>
      </c>
      <c r="U21" s="1">
        <v>-6.6783669999999997</v>
      </c>
      <c r="V21" s="1"/>
      <c r="W21" s="1"/>
    </row>
    <row r="22" spans="1:23" x14ac:dyDescent="0.25">
      <c r="A22" s="7" t="s">
        <v>13</v>
      </c>
      <c r="B22" s="4" t="s">
        <v>5</v>
      </c>
      <c r="C22" s="5">
        <v>10.715195</v>
      </c>
      <c r="D22" s="5">
        <v>17.188184</v>
      </c>
      <c r="E22" s="5">
        <v>21.175903000000002</v>
      </c>
      <c r="F22" s="5">
        <v>14.813044</v>
      </c>
      <c r="G22" s="5">
        <v>11.753876999999999</v>
      </c>
      <c r="H22" s="5">
        <v>24.917604999999998</v>
      </c>
      <c r="I22" s="5">
        <v>18.142692</v>
      </c>
      <c r="J22" s="5">
        <v>19.303820000000002</v>
      </c>
      <c r="K22" s="5">
        <v>13.236321</v>
      </c>
      <c r="L22" s="5">
        <v>10.268825</v>
      </c>
      <c r="M22" s="5">
        <v>23.031361</v>
      </c>
      <c r="N22" s="5">
        <v>22.482008</v>
      </c>
      <c r="O22" s="5">
        <v>25.638190000000002</v>
      </c>
      <c r="P22" s="5">
        <v>17.216042999999999</v>
      </c>
      <c r="Q22" s="5">
        <v>14.203881000000001</v>
      </c>
      <c r="R22" s="5">
        <v>18.976295</v>
      </c>
      <c r="S22" s="5">
        <v>26.898253</v>
      </c>
      <c r="T22" s="5">
        <v>17.705492</v>
      </c>
      <c r="U22" s="5">
        <v>24.881263000000001</v>
      </c>
    </row>
    <row r="23" spans="1:23" x14ac:dyDescent="0.25">
      <c r="A23" s="7"/>
      <c r="B23" s="4" t="s">
        <v>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3" x14ac:dyDescent="0.25">
      <c r="A24" s="7"/>
      <c r="B24" s="4" t="s">
        <v>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3" x14ac:dyDescent="0.25">
      <c r="A25" s="7"/>
      <c r="B25" s="4" t="s">
        <v>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3" x14ac:dyDescent="0.25">
      <c r="A26" s="7"/>
      <c r="B26" s="4" t="s">
        <v>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</sheetData>
  <mergeCells count="5">
    <mergeCell ref="A7:A11"/>
    <mergeCell ref="A12:A16"/>
    <mergeCell ref="A17:A21"/>
    <mergeCell ref="A22:A26"/>
    <mergeCell ref="A2:A6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F65C-6DFB-4451-BC6E-7AB8D163D916}">
  <dimension ref="A1:T6"/>
  <sheetViews>
    <sheetView workbookViewId="0">
      <selection activeCell="C19" sqref="C19"/>
    </sheetView>
  </sheetViews>
  <sheetFormatPr defaultRowHeight="15" x14ac:dyDescent="0.25"/>
  <cols>
    <col min="1" max="1" width="15.140625" customWidth="1"/>
  </cols>
  <sheetData>
    <row r="1" spans="1:20" x14ac:dyDescent="0.25">
      <c r="A1" s="3" t="s">
        <v>3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</row>
    <row r="2" spans="1:20" x14ac:dyDescent="0.25">
      <c r="A2" s="4" t="s">
        <v>5</v>
      </c>
      <c r="B2" s="1">
        <v>153.685</v>
      </c>
      <c r="C2" s="1">
        <v>159.84700000000001</v>
      </c>
      <c r="D2" s="1">
        <v>158.809</v>
      </c>
      <c r="E2" s="1">
        <v>160.52000000000001</v>
      </c>
      <c r="F2" s="1">
        <v>162.959</v>
      </c>
      <c r="G2" s="1">
        <v>164.268</v>
      </c>
      <c r="H2" s="1">
        <v>153.58799999999999</v>
      </c>
      <c r="I2" s="1">
        <v>156.66</v>
      </c>
      <c r="J2" s="1">
        <v>155.09299999999999</v>
      </c>
      <c r="K2" s="1">
        <v>158.72399999999999</v>
      </c>
      <c r="L2" s="1">
        <v>169.798</v>
      </c>
      <c r="M2" s="1">
        <v>167.38900000000001</v>
      </c>
      <c r="N2" s="1">
        <v>170.02099999999999</v>
      </c>
      <c r="O2" s="1">
        <v>170.41200000000001</v>
      </c>
      <c r="P2" s="1">
        <v>169.27099999999999</v>
      </c>
      <c r="Q2" s="1">
        <v>171.27500000000001</v>
      </c>
      <c r="R2" s="1">
        <v>164.42400000000001</v>
      </c>
      <c r="S2" s="1">
        <v>159.29400000000001</v>
      </c>
      <c r="T2" s="1">
        <v>161.834</v>
      </c>
    </row>
    <row r="3" spans="1:20" x14ac:dyDescent="0.25">
      <c r="A3" s="4" t="s">
        <v>6</v>
      </c>
      <c r="B3" s="1">
        <v>315.91899999999998</v>
      </c>
      <c r="C3" s="1">
        <v>302.041</v>
      </c>
      <c r="D3" s="1">
        <v>316.52699999999999</v>
      </c>
      <c r="E3" s="1">
        <v>349.21</v>
      </c>
      <c r="F3" s="1">
        <v>335.58</v>
      </c>
      <c r="G3" s="1">
        <v>342.54199999999997</v>
      </c>
      <c r="H3" s="1">
        <v>315.392</v>
      </c>
      <c r="I3" s="1">
        <v>353.33699999999999</v>
      </c>
      <c r="J3" s="1">
        <v>359.24900000000002</v>
      </c>
      <c r="K3" s="1">
        <v>329.303</v>
      </c>
      <c r="L3" s="1">
        <v>312.59399999999999</v>
      </c>
      <c r="M3" s="1">
        <v>349.863</v>
      </c>
      <c r="N3" s="1">
        <v>308.74099999999999</v>
      </c>
      <c r="O3" s="1">
        <v>352.03800000000001</v>
      </c>
      <c r="P3" s="1">
        <v>356.93200000000002</v>
      </c>
      <c r="Q3" s="1">
        <v>362.71899999999999</v>
      </c>
      <c r="R3" s="1">
        <v>328.49799999999999</v>
      </c>
      <c r="S3" s="1">
        <v>340.91800000000001</v>
      </c>
      <c r="T3" s="1">
        <v>406.36200000000002</v>
      </c>
    </row>
    <row r="4" spans="1:20" x14ac:dyDescent="0.25">
      <c r="A4" s="4" t="s">
        <v>7</v>
      </c>
      <c r="B4" s="1">
        <v>34.176673000000001</v>
      </c>
      <c r="C4" s="1">
        <v>31.036397999999998</v>
      </c>
      <c r="D4" s="1">
        <v>33.947073000000003</v>
      </c>
      <c r="E4" s="1">
        <v>31.97</v>
      </c>
      <c r="F4" s="1">
        <v>29.547832</v>
      </c>
      <c r="G4" s="1">
        <v>35.227128999999998</v>
      </c>
      <c r="H4" s="1">
        <v>31.456081999999999</v>
      </c>
      <c r="I4" s="1">
        <v>30.629719999999999</v>
      </c>
      <c r="J4" s="1">
        <v>26.838514</v>
      </c>
      <c r="K4" s="1">
        <v>28.554175000000001</v>
      </c>
      <c r="L4" s="1">
        <v>28.391416</v>
      </c>
      <c r="M4" s="1">
        <v>23.255755000000001</v>
      </c>
      <c r="N4" s="1">
        <v>19.619616000000001</v>
      </c>
      <c r="O4" s="1">
        <v>21.095950999999999</v>
      </c>
      <c r="P4" s="1">
        <v>18.761324999999999</v>
      </c>
      <c r="Q4" s="1">
        <v>17.264161000000001</v>
      </c>
      <c r="R4" s="1">
        <v>12.798233</v>
      </c>
      <c r="S4" s="1">
        <v>11.043922</v>
      </c>
      <c r="T4" s="1">
        <v>11.134885000000001</v>
      </c>
    </row>
    <row r="5" spans="1:20" x14ac:dyDescent="0.25">
      <c r="A5" s="4" t="s">
        <v>8</v>
      </c>
      <c r="B5" s="1">
        <v>27.521000000000001</v>
      </c>
      <c r="C5" s="1">
        <v>23.428999999999998</v>
      </c>
      <c r="D5" s="1">
        <v>22.507999999999999</v>
      </c>
      <c r="E5" s="1">
        <v>22.54</v>
      </c>
      <c r="F5" s="1">
        <v>22.833000000000002</v>
      </c>
      <c r="G5" s="1">
        <v>24.959000000000003</v>
      </c>
      <c r="H5" s="1">
        <v>25.078000000000003</v>
      </c>
      <c r="I5" s="1">
        <v>28.997999999999998</v>
      </c>
      <c r="J5" s="1">
        <v>31.143999999999998</v>
      </c>
      <c r="K5" s="1">
        <v>30.880000000000003</v>
      </c>
      <c r="L5" s="1">
        <v>30.049999999999997</v>
      </c>
      <c r="M5" s="1">
        <v>33.466999999999999</v>
      </c>
      <c r="N5" s="1">
        <v>33.716999999999999</v>
      </c>
      <c r="O5" s="1">
        <v>33.518999999999998</v>
      </c>
      <c r="P5" s="1">
        <v>33.641999999999996</v>
      </c>
      <c r="Q5" s="1">
        <v>31.743000000000002</v>
      </c>
      <c r="R5" s="1">
        <v>34.808999999999997</v>
      </c>
      <c r="S5" s="1">
        <v>36.731999999999999</v>
      </c>
      <c r="T5" s="1">
        <v>31.908999999999999</v>
      </c>
    </row>
    <row r="6" spans="1:20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7C13-5514-45F0-B36F-CE787CA34BB2}">
  <dimension ref="A1:AU2"/>
  <sheetViews>
    <sheetView topLeftCell="T1" workbookViewId="0">
      <selection activeCell="V14" sqref="V14"/>
    </sheetView>
  </sheetViews>
  <sheetFormatPr defaultRowHeight="15" x14ac:dyDescent="0.25"/>
  <cols>
    <col min="1" max="1" width="30.85546875" customWidth="1"/>
  </cols>
  <sheetData>
    <row r="1" spans="1:47" x14ac:dyDescent="0.25">
      <c r="A1" t="s">
        <v>3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  <c r="V1">
        <v>2025</v>
      </c>
      <c r="W1">
        <v>2026</v>
      </c>
      <c r="X1">
        <v>2027</v>
      </c>
      <c r="Y1">
        <v>2028</v>
      </c>
      <c r="Z1">
        <v>2029</v>
      </c>
      <c r="AA1">
        <v>2030</v>
      </c>
      <c r="AB1">
        <v>2031</v>
      </c>
      <c r="AC1">
        <v>2032</v>
      </c>
      <c r="AD1">
        <v>2033</v>
      </c>
      <c r="AE1">
        <v>2034</v>
      </c>
      <c r="AF1">
        <v>2035</v>
      </c>
      <c r="AG1">
        <v>2036</v>
      </c>
      <c r="AH1">
        <v>2037</v>
      </c>
      <c r="AI1">
        <v>2038</v>
      </c>
      <c r="AJ1">
        <v>2039</v>
      </c>
      <c r="AK1">
        <v>2040</v>
      </c>
      <c r="AL1">
        <v>2041</v>
      </c>
      <c r="AM1">
        <v>2042</v>
      </c>
      <c r="AN1">
        <v>2043</v>
      </c>
      <c r="AO1">
        <v>2044</v>
      </c>
      <c r="AP1">
        <v>2045</v>
      </c>
      <c r="AQ1">
        <v>2046</v>
      </c>
      <c r="AR1">
        <v>2047</v>
      </c>
      <c r="AS1">
        <v>2048</v>
      </c>
      <c r="AT1">
        <v>2049</v>
      </c>
      <c r="AU1">
        <v>2050</v>
      </c>
    </row>
    <row r="2" spans="1:47" x14ac:dyDescent="0.25">
      <c r="A2" t="s">
        <v>14</v>
      </c>
      <c r="B2" s="6">
        <v>586.30999999999995</v>
      </c>
      <c r="C2" s="6">
        <v>544.74</v>
      </c>
      <c r="D2" s="6">
        <v>585.92999999999995</v>
      </c>
      <c r="E2" s="6">
        <v>589.23</v>
      </c>
      <c r="F2" s="6">
        <v>563.27</v>
      </c>
      <c r="G2" s="6">
        <v>563.17999999999995</v>
      </c>
      <c r="H2" s="6">
        <v>596.79</v>
      </c>
      <c r="I2" s="6">
        <v>558.24</v>
      </c>
      <c r="J2" s="6">
        <v>598.04999999999995</v>
      </c>
      <c r="K2" s="6">
        <v>597.12</v>
      </c>
      <c r="L2" s="6">
        <v>601.79999999999995</v>
      </c>
      <c r="M2" s="6">
        <v>557.94000000000005</v>
      </c>
      <c r="N2" s="6">
        <v>562.15</v>
      </c>
      <c r="O2" s="6">
        <v>625.75</v>
      </c>
      <c r="P2" s="6">
        <v>554.46</v>
      </c>
      <c r="Q2" s="6">
        <v>527.07000000000005</v>
      </c>
      <c r="R2" s="6">
        <v>527.1</v>
      </c>
      <c r="S2" s="6">
        <v>540.65</v>
      </c>
      <c r="T2" s="6">
        <v>540.66999999999996</v>
      </c>
      <c r="U2" s="6">
        <v>534.48</v>
      </c>
      <c r="V2" s="6">
        <v>528.02</v>
      </c>
      <c r="W2" s="6">
        <v>521.38</v>
      </c>
      <c r="X2" s="6">
        <v>514.75</v>
      </c>
      <c r="Y2" s="6">
        <v>508.16</v>
      </c>
      <c r="Z2" s="6">
        <v>501.57</v>
      </c>
      <c r="AA2" s="6">
        <v>494.94</v>
      </c>
      <c r="AB2" s="6">
        <v>488.64</v>
      </c>
      <c r="AC2" s="6">
        <v>482.26</v>
      </c>
      <c r="AD2" s="6">
        <v>475.78</v>
      </c>
      <c r="AE2" s="6">
        <v>469.08</v>
      </c>
      <c r="AF2" s="6">
        <v>462.4</v>
      </c>
      <c r="AG2" s="6">
        <v>455.7</v>
      </c>
      <c r="AH2" s="6">
        <v>449.03</v>
      </c>
      <c r="AI2" s="6">
        <v>442.37</v>
      </c>
      <c r="AJ2" s="6">
        <v>435.74</v>
      </c>
      <c r="AK2" s="6">
        <v>429.25</v>
      </c>
      <c r="AL2" s="6">
        <v>422.96</v>
      </c>
      <c r="AM2" s="6">
        <v>416.92</v>
      </c>
      <c r="AN2" s="6">
        <v>411.16</v>
      </c>
      <c r="AO2" s="6">
        <v>405.71</v>
      </c>
      <c r="AP2" s="6">
        <v>400.62</v>
      </c>
      <c r="AQ2" s="6">
        <v>395.86</v>
      </c>
      <c r="AR2" s="6">
        <v>391.54</v>
      </c>
      <c r="AS2" s="6">
        <v>387.82</v>
      </c>
      <c r="AT2" s="6">
        <v>384.61</v>
      </c>
      <c r="AU2" s="6">
        <v>382.06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ECFA-BF0E-4F70-A688-200776BA90FD}">
  <dimension ref="A1:T6"/>
  <sheetViews>
    <sheetView workbookViewId="0">
      <selection activeCell="D17" sqref="D17"/>
    </sheetView>
  </sheetViews>
  <sheetFormatPr defaultRowHeight="15" x14ac:dyDescent="0.25"/>
  <cols>
    <col min="1" max="1" width="15.140625" customWidth="1"/>
  </cols>
  <sheetData>
    <row r="1" spans="1:20" x14ac:dyDescent="0.25">
      <c r="A1" s="3" t="s">
        <v>3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</row>
    <row r="2" spans="1:20" x14ac:dyDescent="0.25">
      <c r="A2" s="4" t="s">
        <v>4</v>
      </c>
      <c r="B2" s="1">
        <v>344.741761</v>
      </c>
      <c r="C2" s="1">
        <v>316.39126700000003</v>
      </c>
      <c r="D2" s="1">
        <v>332.69485500000002</v>
      </c>
      <c r="E2" s="1">
        <v>365.83644800000002</v>
      </c>
      <c r="F2" s="1">
        <v>352.28205500000001</v>
      </c>
      <c r="G2" s="1">
        <v>359.02979199999999</v>
      </c>
      <c r="H2" s="1">
        <v>324.91722299999998</v>
      </c>
      <c r="I2" s="1">
        <v>367.27056299999998</v>
      </c>
      <c r="J2" s="1">
        <v>376.66455999999999</v>
      </c>
      <c r="K2" s="1">
        <v>358.11449399999998</v>
      </c>
      <c r="L2" s="1">
        <v>337.049556</v>
      </c>
      <c r="M2" s="1">
        <v>365.51364699999999</v>
      </c>
      <c r="N2" s="1">
        <v>322.333392</v>
      </c>
      <c r="O2" s="1">
        <v>374.39161999999999</v>
      </c>
      <c r="P2" s="1">
        <v>386.505651</v>
      </c>
      <c r="Q2" s="1">
        <v>379.52621399999998</v>
      </c>
      <c r="R2" s="1">
        <v>342.54087800000002</v>
      </c>
      <c r="S2" s="1">
        <v>358.303112</v>
      </c>
      <c r="T2" s="1">
        <v>401.799148</v>
      </c>
    </row>
    <row r="3" spans="1:20" x14ac:dyDescent="0.25">
      <c r="A3" s="4" t="s">
        <v>10</v>
      </c>
      <c r="B3" s="1">
        <v>93.548576999999995</v>
      </c>
      <c r="C3" s="1">
        <v>97.500247000000002</v>
      </c>
      <c r="D3" s="1">
        <v>97.089496999999994</v>
      </c>
      <c r="E3" s="1">
        <v>100.443764</v>
      </c>
      <c r="F3" s="1">
        <v>100.10953499999999</v>
      </c>
      <c r="G3" s="1">
        <v>102.558862</v>
      </c>
      <c r="H3" s="1">
        <v>101.490869</v>
      </c>
      <c r="I3" s="1">
        <v>103.53909899999999</v>
      </c>
      <c r="J3" s="1">
        <v>101.281295</v>
      </c>
      <c r="K3" s="1">
        <v>94.680198000000004</v>
      </c>
      <c r="L3" s="1">
        <v>95.548124000000001</v>
      </c>
      <c r="M3" s="1">
        <v>102.087878</v>
      </c>
      <c r="N3" s="1">
        <v>97.875465000000005</v>
      </c>
      <c r="O3" s="1">
        <v>98.817547000000005</v>
      </c>
      <c r="P3" s="1">
        <v>93.106027999999995</v>
      </c>
      <c r="Q3" s="1">
        <v>98.436768999999998</v>
      </c>
      <c r="R3" s="1">
        <v>92.204338000000007</v>
      </c>
      <c r="S3" s="1">
        <v>92.385084000000006</v>
      </c>
      <c r="T3" s="1">
        <v>106.76318999999999</v>
      </c>
    </row>
    <row r="4" spans="1:20" x14ac:dyDescent="0.25">
      <c r="A4" s="4" t="s">
        <v>11</v>
      </c>
      <c r="B4" s="1">
        <v>61.844149000000002</v>
      </c>
      <c r="C4" s="1">
        <v>63.890934000000001</v>
      </c>
      <c r="D4" s="1">
        <v>60.482748999999998</v>
      </c>
      <c r="E4" s="1">
        <v>61.946669</v>
      </c>
      <c r="F4" s="1">
        <v>64.826505999999995</v>
      </c>
      <c r="G4" s="1">
        <v>60.616106000000002</v>
      </c>
      <c r="H4" s="1">
        <v>61.323492999999999</v>
      </c>
      <c r="I4" s="1">
        <v>60.695245</v>
      </c>
      <c r="J4" s="1">
        <v>61.960847999999999</v>
      </c>
      <c r="K4" s="1">
        <v>64.432648</v>
      </c>
      <c r="L4" s="1">
        <v>64.757268999999994</v>
      </c>
      <c r="M4" s="1">
        <v>64.090172999999993</v>
      </c>
      <c r="N4" s="1">
        <v>66.048029999999997</v>
      </c>
      <c r="O4" s="1">
        <v>66.719144</v>
      </c>
      <c r="P4" s="1">
        <v>65.574316999999994</v>
      </c>
      <c r="Q4" s="1">
        <v>66.903829000000002</v>
      </c>
      <c r="R4" s="1">
        <v>61.586903999999997</v>
      </c>
      <c r="S4" s="1">
        <v>62.230953</v>
      </c>
      <c r="T4" s="1">
        <v>61.214455999999998</v>
      </c>
    </row>
    <row r="5" spans="1:20" x14ac:dyDescent="0.25">
      <c r="A5" s="4" t="s">
        <v>12</v>
      </c>
      <c r="B5" s="1">
        <v>20.451991</v>
      </c>
      <c r="C5" s="1">
        <v>21.382764999999999</v>
      </c>
      <c r="D5" s="1">
        <v>20.348068000000001</v>
      </c>
      <c r="E5" s="1">
        <v>21.200074000000001</v>
      </c>
      <c r="F5" s="1">
        <v>21.947859000000001</v>
      </c>
      <c r="G5" s="1">
        <v>19.873763</v>
      </c>
      <c r="H5" s="1">
        <v>19.639804000000002</v>
      </c>
      <c r="I5" s="1">
        <v>18.815994</v>
      </c>
      <c r="J5" s="1">
        <v>19.18149</v>
      </c>
      <c r="K5" s="1">
        <v>19.965008999999998</v>
      </c>
      <c r="L5" s="1">
        <v>20.447106000000002</v>
      </c>
      <c r="M5" s="1">
        <v>19.801048000000002</v>
      </c>
      <c r="N5" s="1">
        <v>20.203538999999999</v>
      </c>
      <c r="O5" s="1">
        <v>19.920597000000001</v>
      </c>
      <c r="P5" s="1">
        <v>19.216448</v>
      </c>
      <c r="Q5" s="1">
        <v>19.158054</v>
      </c>
      <c r="R5" s="1">
        <v>17.298859</v>
      </c>
      <c r="S5" s="1">
        <v>17.363281000000001</v>
      </c>
      <c r="T5" s="1">
        <v>16.581827000000001</v>
      </c>
    </row>
    <row r="6" spans="1:20" x14ac:dyDescent="0.25">
      <c r="A6" s="4" t="s">
        <v>13</v>
      </c>
      <c r="B6" s="1">
        <v>10.715195</v>
      </c>
      <c r="C6" s="1">
        <v>17.188184</v>
      </c>
      <c r="D6" s="1">
        <v>21.175903000000002</v>
      </c>
      <c r="E6" s="1">
        <v>14.813044</v>
      </c>
      <c r="F6" s="1">
        <v>11.753876999999999</v>
      </c>
      <c r="G6" s="1">
        <v>24.917604999999998</v>
      </c>
      <c r="H6" s="1">
        <v>18.142692</v>
      </c>
      <c r="I6" s="1">
        <v>19.303820000000002</v>
      </c>
      <c r="J6" s="1">
        <v>13.236321</v>
      </c>
      <c r="K6" s="1">
        <v>10.268825</v>
      </c>
      <c r="L6" s="1">
        <v>23.031361</v>
      </c>
      <c r="M6" s="1">
        <v>22.482008</v>
      </c>
      <c r="N6" s="1">
        <v>25.638190000000002</v>
      </c>
      <c r="O6" s="1">
        <v>17.216042999999999</v>
      </c>
      <c r="P6" s="1">
        <v>14.203881000000001</v>
      </c>
      <c r="Q6" s="1">
        <v>18.976295</v>
      </c>
      <c r="R6" s="1">
        <v>26.898253</v>
      </c>
      <c r="S6" s="1">
        <v>17.705492</v>
      </c>
      <c r="T6" s="1">
        <v>24.881263000000001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F312-9521-4B6F-BF75-7871A5CCA18B}">
  <dimension ref="A1:H27"/>
  <sheetViews>
    <sheetView workbookViewId="0">
      <selection activeCell="D5" sqref="D5"/>
    </sheetView>
  </sheetViews>
  <sheetFormatPr defaultRowHeight="15" x14ac:dyDescent="0.25"/>
  <cols>
    <col min="1" max="1" width="20" customWidth="1"/>
    <col min="2" max="2" width="19.28515625" customWidth="1"/>
    <col min="3" max="8" width="9.140625" style="2"/>
  </cols>
  <sheetData>
    <row r="1" spans="1:8" x14ac:dyDescent="0.25">
      <c r="C1" s="8" t="s">
        <v>15</v>
      </c>
      <c r="D1" s="8"/>
      <c r="E1" s="8" t="s">
        <v>16</v>
      </c>
      <c r="F1" s="8"/>
      <c r="G1" s="8" t="s">
        <v>17</v>
      </c>
      <c r="H1" s="8"/>
    </row>
    <row r="2" spans="1:8" x14ac:dyDescent="0.25">
      <c r="C2" s="2" t="s">
        <v>18</v>
      </c>
      <c r="D2" s="2" t="s">
        <v>19</v>
      </c>
      <c r="E2" s="2" t="s">
        <v>18</v>
      </c>
      <c r="F2" s="2" t="s">
        <v>19</v>
      </c>
      <c r="G2" s="2" t="s">
        <v>18</v>
      </c>
      <c r="H2" s="2" t="s">
        <v>19</v>
      </c>
    </row>
    <row r="3" spans="1:8" x14ac:dyDescent="0.25">
      <c r="A3" s="7" t="s">
        <v>4</v>
      </c>
      <c r="B3" s="4" t="s">
        <v>5</v>
      </c>
    </row>
    <row r="4" spans="1:8" x14ac:dyDescent="0.25">
      <c r="A4" s="7"/>
      <c r="B4" s="4" t="s">
        <v>6</v>
      </c>
    </row>
    <row r="5" spans="1:8" x14ac:dyDescent="0.25">
      <c r="A5" s="7"/>
      <c r="B5" s="4" t="s">
        <v>7</v>
      </c>
    </row>
    <row r="6" spans="1:8" x14ac:dyDescent="0.25">
      <c r="A6" s="7"/>
      <c r="B6" s="4" t="s">
        <v>8</v>
      </c>
    </row>
    <row r="7" spans="1:8" x14ac:dyDescent="0.25">
      <c r="A7" s="7"/>
      <c r="B7" s="4" t="s">
        <v>9</v>
      </c>
    </row>
    <row r="8" spans="1:8" x14ac:dyDescent="0.25">
      <c r="A8" s="7" t="s">
        <v>10</v>
      </c>
      <c r="B8" s="4" t="s">
        <v>5</v>
      </c>
    </row>
    <row r="9" spans="1:8" x14ac:dyDescent="0.25">
      <c r="A9" s="7"/>
      <c r="B9" s="4" t="s">
        <v>6</v>
      </c>
    </row>
    <row r="10" spans="1:8" x14ac:dyDescent="0.25">
      <c r="A10" s="7"/>
      <c r="B10" s="4" t="s">
        <v>7</v>
      </c>
    </row>
    <row r="11" spans="1:8" x14ac:dyDescent="0.25">
      <c r="A11" s="7"/>
      <c r="B11" s="4" t="s">
        <v>8</v>
      </c>
    </row>
    <row r="12" spans="1:8" x14ac:dyDescent="0.25">
      <c r="A12" s="7"/>
      <c r="B12" s="4" t="s">
        <v>9</v>
      </c>
    </row>
    <row r="13" spans="1:8" x14ac:dyDescent="0.25">
      <c r="A13" s="7" t="s">
        <v>11</v>
      </c>
      <c r="B13" s="4" t="s">
        <v>5</v>
      </c>
    </row>
    <row r="14" spans="1:8" x14ac:dyDescent="0.25">
      <c r="A14" s="7"/>
      <c r="B14" s="4" t="s">
        <v>6</v>
      </c>
    </row>
    <row r="15" spans="1:8" x14ac:dyDescent="0.25">
      <c r="A15" s="7"/>
      <c r="B15" s="4" t="s">
        <v>7</v>
      </c>
      <c r="C15" s="2">
        <v>0</v>
      </c>
      <c r="D15" s="2">
        <v>0</v>
      </c>
      <c r="E15" s="2">
        <v>0</v>
      </c>
      <c r="F15" s="2">
        <v>0</v>
      </c>
    </row>
    <row r="16" spans="1:8" x14ac:dyDescent="0.25">
      <c r="A16" s="7"/>
      <c r="B16" s="4" t="s">
        <v>8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5">
      <c r="A17" s="7"/>
      <c r="B17" s="4" t="s">
        <v>9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5">
      <c r="A18" s="7" t="s">
        <v>12</v>
      </c>
      <c r="B18" s="4" t="s">
        <v>5</v>
      </c>
    </row>
    <row r="19" spans="1:6" x14ac:dyDescent="0.25">
      <c r="A19" s="7"/>
      <c r="B19" s="4" t="s">
        <v>6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5">
      <c r="A20" s="7"/>
      <c r="B20" s="4" t="s">
        <v>7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5">
      <c r="A21" s="7"/>
      <c r="B21" s="4" t="s">
        <v>8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5">
      <c r="A22" s="7"/>
      <c r="B22" s="4" t="s">
        <v>9</v>
      </c>
    </row>
    <row r="23" spans="1:6" x14ac:dyDescent="0.25">
      <c r="A23" s="7" t="s">
        <v>13</v>
      </c>
      <c r="B23" s="4" t="s">
        <v>5</v>
      </c>
    </row>
    <row r="24" spans="1:6" x14ac:dyDescent="0.25">
      <c r="A24" s="7"/>
      <c r="B24" s="4" t="s">
        <v>6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5">
      <c r="A25" s="7"/>
      <c r="B25" s="4" t="s">
        <v>7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5">
      <c r="A26" s="7"/>
      <c r="B26" s="4" t="s">
        <v>8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s="7"/>
      <c r="B27" s="4" t="s">
        <v>9</v>
      </c>
      <c r="C27" s="2">
        <v>0</v>
      </c>
      <c r="D27" s="2">
        <v>0</v>
      </c>
      <c r="E27" s="2">
        <v>0</v>
      </c>
      <c r="F27" s="2">
        <v>0</v>
      </c>
    </row>
  </sheetData>
  <mergeCells count="8">
    <mergeCell ref="A18:A22"/>
    <mergeCell ref="A23:A27"/>
    <mergeCell ref="C1:D1"/>
    <mergeCell ref="E1:F1"/>
    <mergeCell ref="G1:H1"/>
    <mergeCell ref="A3:A7"/>
    <mergeCell ref="A8:A12"/>
    <mergeCell ref="A13:A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7BA8-4298-471A-94BB-D171CE77094D}">
  <dimension ref="A1:H18"/>
  <sheetViews>
    <sheetView tabSelected="1" workbookViewId="0">
      <selection activeCell="K12" sqref="K12"/>
    </sheetView>
  </sheetViews>
  <sheetFormatPr defaultRowHeight="15" x14ac:dyDescent="0.25"/>
  <cols>
    <col min="1" max="1" width="18.140625" customWidth="1"/>
    <col min="2" max="7" width="15.7109375" customWidth="1"/>
  </cols>
  <sheetData>
    <row r="1" spans="1:8" x14ac:dyDescent="0.25">
      <c r="A1" t="s">
        <v>20</v>
      </c>
      <c r="B1" s="2">
        <v>2025</v>
      </c>
      <c r="C1" s="2">
        <v>2030</v>
      </c>
      <c r="D1" s="2">
        <v>2035</v>
      </c>
      <c r="E1" s="2">
        <v>2040</v>
      </c>
      <c r="F1" s="2">
        <v>2045</v>
      </c>
      <c r="G1" s="2">
        <v>2050</v>
      </c>
      <c r="H1" s="2"/>
    </row>
    <row r="2" spans="1:8" x14ac:dyDescent="0.25">
      <c r="A2" t="s">
        <v>4</v>
      </c>
      <c r="B2" s="2">
        <v>404.45580999999999</v>
      </c>
      <c r="C2" s="2">
        <v>414.38655999999997</v>
      </c>
      <c r="D2" s="2">
        <v>424.31731000000002</v>
      </c>
      <c r="E2" s="2">
        <v>434.24806000000001</v>
      </c>
      <c r="F2" s="2">
        <v>444.17881</v>
      </c>
      <c r="G2" s="2">
        <v>454.10955999999999</v>
      </c>
      <c r="H2" s="2"/>
    </row>
    <row r="3" spans="1:8" x14ac:dyDescent="0.25">
      <c r="A3" t="s">
        <v>10</v>
      </c>
      <c r="B3" s="2">
        <v>95.201312999999999</v>
      </c>
      <c r="C3" s="2">
        <v>94.613106000000002</v>
      </c>
      <c r="D3" s="2">
        <v>94.024899000000005</v>
      </c>
      <c r="E3" s="2">
        <v>93.436691999999994</v>
      </c>
      <c r="F3" s="2">
        <v>92.848484999999997</v>
      </c>
      <c r="G3" s="2">
        <v>92.260278</v>
      </c>
      <c r="H3" s="2"/>
    </row>
    <row r="4" spans="1:8" x14ac:dyDescent="0.25">
      <c r="A4" t="s">
        <v>11</v>
      </c>
      <c r="B4" s="2">
        <v>65.242395000000002</v>
      </c>
      <c r="C4" s="2">
        <v>65.866281999999998</v>
      </c>
      <c r="D4" s="2">
        <v>66.490170000000006</v>
      </c>
      <c r="E4" s="2">
        <v>67.114058</v>
      </c>
      <c r="F4" s="2">
        <v>67.737944999999996</v>
      </c>
      <c r="G4" s="2">
        <v>68.361833000000004</v>
      </c>
      <c r="H4" s="2"/>
    </row>
    <row r="5" spans="1:8" x14ac:dyDescent="0.25">
      <c r="A5" t="s">
        <v>12</v>
      </c>
      <c r="B5" s="2">
        <v>13.760688</v>
      </c>
      <c r="C5" s="2">
        <v>12.943142999999999</v>
      </c>
      <c r="D5" s="2">
        <v>12.125597000000001</v>
      </c>
      <c r="E5" s="2">
        <v>11.308051000000001</v>
      </c>
      <c r="F5" s="2">
        <v>10.490506</v>
      </c>
      <c r="G5" s="2">
        <v>9.6729600999999992</v>
      </c>
      <c r="H5" s="2"/>
    </row>
    <row r="6" spans="1:8" x14ac:dyDescent="0.25">
      <c r="A6" t="s">
        <v>21</v>
      </c>
      <c r="B6" s="2">
        <v>23.575319</v>
      </c>
      <c r="C6" s="2">
        <v>25.520824000000001</v>
      </c>
      <c r="D6" s="2">
        <v>27.466329999999999</v>
      </c>
      <c r="E6" s="2">
        <v>29.411835</v>
      </c>
      <c r="F6" s="2">
        <v>31.357341000000002</v>
      </c>
      <c r="G6" s="2">
        <v>33.302847</v>
      </c>
      <c r="H6" s="2"/>
    </row>
    <row r="7" spans="1:8" x14ac:dyDescent="0.25">
      <c r="B7" s="2"/>
      <c r="C7" s="2"/>
      <c r="D7" s="2"/>
      <c r="E7" s="2"/>
      <c r="F7" s="2"/>
      <c r="G7" s="2"/>
      <c r="H7" s="2"/>
    </row>
    <row r="8" spans="1:8" x14ac:dyDescent="0.25">
      <c r="B8" s="2"/>
      <c r="C8" s="2"/>
      <c r="D8" s="2"/>
      <c r="E8" s="2"/>
      <c r="F8" s="2"/>
      <c r="G8" s="2"/>
      <c r="H8" s="2"/>
    </row>
    <row r="9" spans="1:8" x14ac:dyDescent="0.25">
      <c r="A9" t="str" cm="1">
        <f t="array" ref="A9:F15">TRANSPOSE(A1:G6)</f>
        <v>(PJ)</v>
      </c>
      <c r="B9" s="2" t="str">
        <v>Space heating</v>
      </c>
      <c r="C9" s="2" t="str">
        <v>Water heating</v>
      </c>
      <c r="D9" s="2" t="str">
        <v>Appliances</v>
      </c>
      <c r="E9" s="2" t="str">
        <v>Lighting</v>
      </c>
      <c r="F9" s="2" t="str">
        <v>Cooling</v>
      </c>
      <c r="G9" s="2"/>
      <c r="H9" s="2"/>
    </row>
    <row r="10" spans="1:8" x14ac:dyDescent="0.25">
      <c r="A10" s="3">
        <v>2025</v>
      </c>
      <c r="B10" s="2">
        <v>404.45580999999999</v>
      </c>
      <c r="C10" s="2">
        <v>95.201312999999999</v>
      </c>
      <c r="D10" s="2">
        <v>65.242395000000002</v>
      </c>
      <c r="E10" s="2">
        <v>13.760688</v>
      </c>
      <c r="F10" s="2">
        <v>23.575319</v>
      </c>
      <c r="G10" s="2"/>
      <c r="H10" s="2"/>
    </row>
    <row r="11" spans="1:8" x14ac:dyDescent="0.25">
      <c r="A11" s="3">
        <v>2030</v>
      </c>
      <c r="B11" s="2">
        <v>414.38655999999997</v>
      </c>
      <c r="C11" s="2">
        <v>94.613106000000002</v>
      </c>
      <c r="D11" s="2">
        <v>65.866281999999998</v>
      </c>
      <c r="E11" s="2">
        <v>12.943142999999999</v>
      </c>
      <c r="F11" s="2">
        <v>25.520824000000001</v>
      </c>
      <c r="G11" s="2"/>
      <c r="H11" s="2"/>
    </row>
    <row r="12" spans="1:8" x14ac:dyDescent="0.25">
      <c r="A12" s="3">
        <v>2035</v>
      </c>
      <c r="B12" s="2">
        <v>424.31731000000002</v>
      </c>
      <c r="C12" s="2">
        <v>94.024899000000005</v>
      </c>
      <c r="D12" s="2">
        <v>66.490170000000006</v>
      </c>
      <c r="E12" s="2">
        <v>12.125597000000001</v>
      </c>
      <c r="F12" s="2">
        <v>27.466329999999999</v>
      </c>
      <c r="G12" s="2"/>
      <c r="H12" s="2"/>
    </row>
    <row r="13" spans="1:8" x14ac:dyDescent="0.25">
      <c r="A13" s="3">
        <v>2040</v>
      </c>
      <c r="B13" s="2">
        <v>434.24806000000001</v>
      </c>
      <c r="C13" s="2">
        <v>93.436691999999994</v>
      </c>
      <c r="D13" s="2">
        <v>67.114058</v>
      </c>
      <c r="E13" s="2">
        <v>11.308051000000001</v>
      </c>
      <c r="F13" s="2">
        <v>29.411835</v>
      </c>
      <c r="G13" s="2"/>
      <c r="H13" s="2"/>
    </row>
    <row r="14" spans="1:8" x14ac:dyDescent="0.25">
      <c r="A14" s="3">
        <v>2045</v>
      </c>
      <c r="B14" s="2">
        <v>444.17881</v>
      </c>
      <c r="C14" s="2">
        <v>92.848484999999997</v>
      </c>
      <c r="D14" s="2">
        <v>67.737944999999996</v>
      </c>
      <c r="E14" s="2">
        <v>10.490506</v>
      </c>
      <c r="F14" s="2">
        <v>31.357341000000002</v>
      </c>
      <c r="G14" s="2"/>
      <c r="H14" s="2"/>
    </row>
    <row r="15" spans="1:8" x14ac:dyDescent="0.25">
      <c r="A15" s="3">
        <v>2050</v>
      </c>
      <c r="B15" s="2">
        <v>454.10955999999999</v>
      </c>
      <c r="C15" s="2">
        <v>92.260278</v>
      </c>
      <c r="D15" s="2">
        <v>68.361833000000004</v>
      </c>
      <c r="E15" s="2">
        <v>9.6729600999999992</v>
      </c>
      <c r="F15" s="2">
        <v>33.302847</v>
      </c>
      <c r="G15" s="2"/>
      <c r="H15" s="2"/>
    </row>
    <row r="16" spans="1:8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770AA32B140F44A305B2E294C05D77" ma:contentTypeVersion="10" ma:contentTypeDescription="Create a new document." ma:contentTypeScope="" ma:versionID="2cd3d011cec0507d1219acd324e2edf6">
  <xsd:schema xmlns:xsd="http://www.w3.org/2001/XMLSchema" xmlns:xs="http://www.w3.org/2001/XMLSchema" xmlns:p="http://schemas.microsoft.com/office/2006/metadata/properties" xmlns:ns2="aad94fba-4e7c-4161-8888-c0525088b78f" xmlns:ns3="17f324d3-4748-4ce3-8ccf-d0749358402c" targetNamespace="http://schemas.microsoft.com/office/2006/metadata/properties" ma:root="true" ma:fieldsID="20cf7287b4a066b562319c2923706d4d" ns2:_="" ns3:_="">
    <xsd:import namespace="aad94fba-4e7c-4161-8888-c0525088b78f"/>
    <xsd:import namespace="17f324d3-4748-4ce3-8ccf-d074935840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94fba-4e7c-4161-8888-c0525088b7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324d3-4748-4ce3-8ccf-d0749358402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023EA0-74BC-476D-B26F-3FC2734379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D440F9-7898-46AB-AD7A-5A1C881BB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d94fba-4e7c-4161-8888-c0525088b78f"/>
    <ds:schemaRef ds:uri="17f324d3-4748-4ce3-8ccf-d074935840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years</vt:lpstr>
      <vt:lpstr>fuels by use</vt:lpstr>
      <vt:lpstr>energy by fuel</vt:lpstr>
      <vt:lpstr>projected energy use</vt:lpstr>
      <vt:lpstr>energy by end-use</vt:lpstr>
      <vt:lpstr>bounds</vt:lpstr>
      <vt:lpstr>forecast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Davey Elder</dc:creator>
  <cp:keywords/>
  <dc:description/>
  <cp:lastModifiedBy>Davey Elder</cp:lastModifiedBy>
  <cp:revision/>
  <dcterms:created xsi:type="dcterms:W3CDTF">2023-06-21T16:40:13Z</dcterms:created>
  <dcterms:modified xsi:type="dcterms:W3CDTF">2023-06-26T17:12:38Z</dcterms:modified>
  <cp:category/>
  <cp:contentStatus/>
</cp:coreProperties>
</file>